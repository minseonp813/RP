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minseonp/Library/CloudStorage/Dropbox/RP/RA_Byunghun/RP_finalized_0901/results/"/>
    </mc:Choice>
  </mc:AlternateContent>
  <xr:revisionPtr revIDLastSave="0" documentId="8_{D917BCD5-5871-7C4B-8FC2-516D409BF009}" xr6:coauthVersionLast="47" xr6:coauthVersionMax="47" xr10:uidLastSave="{00000000-0000-0000-0000-000000000000}"/>
  <bookViews>
    <workbookView xWindow="0" yWindow="880" windowWidth="36000" windowHeight="20620" xr2:uid="{ACEC987B-D27C-F547-8E65-3FCE85AA6A97}"/>
  </bookViews>
  <sheets>
    <sheet name="Table2-CollectiveCCEI" sheetId="1" r:id="rId1"/>
    <sheet name="Table3-CCEIBargaining" sheetId="2" r:id="rId2"/>
    <sheet name="Table3-Balanced CCEIBargaining" sheetId="7" r:id="rId3"/>
    <sheet name="Table4-RAAggregation" sheetId="3" r:id="rId4"/>
    <sheet name="Figure A1" sheetId="4" r:id="rId5"/>
    <sheet name="Figure 6-Hetero"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7" l="1"/>
  <c r="E32" i="7"/>
  <c r="D32" i="7"/>
  <c r="C32" i="7"/>
  <c r="B32" i="7"/>
  <c r="F31" i="7"/>
  <c r="E31" i="7"/>
  <c r="D31" i="7"/>
  <c r="C31" i="7"/>
  <c r="B31" i="7"/>
  <c r="F30" i="7"/>
  <c r="E30" i="7"/>
  <c r="D30" i="7"/>
  <c r="C30" i="7"/>
  <c r="B30" i="7"/>
  <c r="F29" i="7"/>
  <c r="E29" i="7"/>
  <c r="D29" i="7"/>
  <c r="C29" i="7"/>
  <c r="B29" i="7"/>
  <c r="F28" i="7"/>
  <c r="E28" i="7"/>
  <c r="D28" i="7"/>
  <c r="C28" i="7"/>
  <c r="B28" i="7"/>
  <c r="F27" i="7"/>
  <c r="E27" i="7"/>
  <c r="D27" i="7"/>
  <c r="C27" i="7"/>
  <c r="B27" i="7"/>
  <c r="F26" i="7"/>
  <c r="E26" i="7"/>
  <c r="D26" i="7"/>
  <c r="C26" i="7"/>
  <c r="B26" i="7"/>
  <c r="F25" i="7"/>
  <c r="E25" i="7"/>
  <c r="D25" i="7"/>
  <c r="C25" i="7"/>
  <c r="B25" i="7"/>
  <c r="F24" i="7"/>
  <c r="E24" i="7"/>
  <c r="D24" i="7"/>
  <c r="C24" i="7"/>
  <c r="B24" i="7"/>
  <c r="F23" i="7"/>
  <c r="E23" i="7"/>
  <c r="D23" i="7"/>
  <c r="C23" i="7"/>
  <c r="B23" i="7"/>
  <c r="F22" i="7"/>
  <c r="E22" i="7"/>
  <c r="D22" i="7"/>
  <c r="C22" i="7"/>
  <c r="B22" i="7"/>
  <c r="F21" i="7"/>
  <c r="E21" i="7"/>
  <c r="D21" i="7"/>
  <c r="C21" i="7"/>
  <c r="B21" i="7"/>
  <c r="F20" i="7"/>
  <c r="E20" i="7"/>
  <c r="D20" i="7"/>
  <c r="C20" i="7"/>
  <c r="B20" i="7"/>
  <c r="F19" i="7"/>
  <c r="E19" i="7"/>
  <c r="D19" i="7"/>
  <c r="C19" i="7"/>
  <c r="B19" i="7"/>
  <c r="F18" i="7"/>
  <c r="E18" i="7"/>
  <c r="D18" i="7"/>
  <c r="C18" i="7"/>
  <c r="B18" i="7"/>
  <c r="F17" i="7"/>
  <c r="E17" i="7"/>
  <c r="D17" i="7"/>
  <c r="C17" i="7"/>
  <c r="B17" i="7"/>
  <c r="F16" i="7"/>
  <c r="E16" i="7"/>
  <c r="D16" i="7"/>
  <c r="C16" i="7"/>
  <c r="B16" i="7"/>
  <c r="F15" i="7"/>
  <c r="E15" i="7"/>
  <c r="D15" i="7"/>
  <c r="C15" i="7"/>
  <c r="B15" i="7"/>
  <c r="F14" i="7"/>
  <c r="E14" i="7"/>
  <c r="D14" i="7"/>
  <c r="C14" i="7"/>
  <c r="B14" i="7"/>
  <c r="F13" i="7"/>
  <c r="E13" i="7"/>
  <c r="D13" i="7"/>
  <c r="C13" i="7"/>
  <c r="B13" i="7"/>
  <c r="F12" i="7"/>
  <c r="E12" i="7"/>
  <c r="D12" i="7"/>
  <c r="C12" i="7"/>
  <c r="B12" i="7"/>
  <c r="F11" i="7"/>
  <c r="E11" i="7"/>
  <c r="D11" i="7"/>
  <c r="C11" i="7"/>
  <c r="B11" i="7"/>
  <c r="F10" i="7"/>
  <c r="E10" i="7"/>
  <c r="D10" i="7"/>
  <c r="C10" i="7"/>
  <c r="B10" i="7"/>
  <c r="F9" i="7"/>
  <c r="E9" i="7"/>
  <c r="D9" i="7"/>
  <c r="C9" i="7"/>
  <c r="B9" i="7"/>
  <c r="F8" i="7"/>
  <c r="E8" i="7"/>
  <c r="D8" i="7"/>
  <c r="C8" i="7"/>
  <c r="B8" i="7"/>
  <c r="F7" i="7"/>
  <c r="E7" i="7"/>
  <c r="D7" i="7"/>
  <c r="C7" i="7"/>
  <c r="B7" i="7"/>
  <c r="F6" i="7"/>
  <c r="E6" i="7"/>
  <c r="D6" i="7"/>
  <c r="C6" i="7"/>
  <c r="B6" i="7"/>
  <c r="F5" i="7"/>
  <c r="E5" i="7"/>
  <c r="D5" i="7"/>
  <c r="C5" i="7"/>
  <c r="B5" i="7"/>
  <c r="F4" i="7"/>
  <c r="E4" i="7"/>
  <c r="D4" i="7"/>
  <c r="C4" i="7"/>
  <c r="B4" i="7"/>
  <c r="F3" i="7"/>
  <c r="E3" i="7"/>
  <c r="D3" i="7"/>
  <c r="C3" i="7"/>
  <c r="B3" i="7"/>
  <c r="A1" i="7"/>
  <c r="B1" i="7"/>
  <c r="C1" i="7"/>
  <c r="D1" i="7"/>
  <c r="E1" i="7"/>
  <c r="F1" i="7"/>
  <c r="A2" i="7"/>
  <c r="B2" i="7"/>
  <c r="C2" i="7"/>
  <c r="D2" i="7"/>
  <c r="E2" i="7"/>
  <c r="F2"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5" i="7"/>
  <c r="L3" i="6"/>
  <c r="A2" i="6"/>
  <c r="A3" i="6"/>
  <c r="B3" i="6"/>
  <c r="C3" i="6"/>
  <c r="D3" i="6"/>
  <c r="E3" i="6"/>
  <c r="F3" i="6"/>
  <c r="G3" i="6"/>
  <c r="H3" i="6"/>
  <c r="I3" i="6"/>
  <c r="J3" i="6"/>
  <c r="K3" i="6"/>
  <c r="M3" i="6"/>
  <c r="N3" i="6"/>
  <c r="O3" i="6"/>
  <c r="P3" i="6"/>
  <c r="Q3" i="6"/>
  <c r="A4" i="6"/>
  <c r="B4" i="6"/>
  <c r="C4" i="6"/>
  <c r="D4" i="6"/>
  <c r="E4" i="6"/>
  <c r="F4" i="6"/>
  <c r="G4" i="6"/>
  <c r="H4" i="6"/>
  <c r="I4" i="6"/>
  <c r="J4" i="6"/>
  <c r="K4" i="6"/>
  <c r="L4" i="6"/>
  <c r="M4" i="6"/>
  <c r="N4" i="6"/>
  <c r="O4" i="6"/>
  <c r="P4" i="6"/>
  <c r="Q4" i="6"/>
  <c r="A5" i="6"/>
  <c r="B5" i="6"/>
  <c r="C5" i="6"/>
  <c r="D5" i="6"/>
  <c r="E5" i="6"/>
  <c r="F5" i="6"/>
  <c r="G5" i="6"/>
  <c r="H5" i="6"/>
  <c r="I5" i="6"/>
  <c r="J5" i="6"/>
  <c r="K5" i="6"/>
  <c r="L5" i="6"/>
  <c r="M5" i="6"/>
  <c r="N5" i="6"/>
  <c r="O5" i="6"/>
  <c r="P5" i="6"/>
  <c r="Q5" i="6"/>
  <c r="A7" i="6"/>
  <c r="B7" i="6"/>
  <c r="C7" i="6"/>
  <c r="D7" i="6"/>
  <c r="E7" i="6"/>
  <c r="F7" i="6"/>
  <c r="G7" i="6"/>
  <c r="H7" i="6"/>
  <c r="I7" i="6"/>
  <c r="J7" i="6"/>
  <c r="K7" i="6"/>
  <c r="L7" i="6"/>
  <c r="M7" i="6"/>
  <c r="N7" i="6"/>
  <c r="O7" i="6"/>
  <c r="P7" i="6"/>
  <c r="Q7" i="6"/>
  <c r="A8" i="6"/>
  <c r="B8" i="6"/>
  <c r="C8" i="6"/>
  <c r="D8" i="6"/>
  <c r="E8" i="6"/>
  <c r="F8" i="6"/>
  <c r="G8" i="6"/>
  <c r="H8" i="6"/>
  <c r="I8" i="6"/>
  <c r="J8" i="6"/>
  <c r="K8" i="6"/>
  <c r="L8" i="6"/>
  <c r="M8" i="6"/>
  <c r="N8" i="6"/>
  <c r="O8" i="6"/>
  <c r="P8" i="6"/>
  <c r="Q8" i="6"/>
  <c r="A9" i="6"/>
  <c r="B9" i="6"/>
  <c r="C9" i="6"/>
  <c r="D9" i="6"/>
  <c r="E9" i="6"/>
  <c r="F9" i="6"/>
  <c r="G9" i="6"/>
  <c r="H9" i="6"/>
  <c r="I9" i="6"/>
  <c r="J9" i="6"/>
  <c r="K9" i="6"/>
  <c r="L9" i="6"/>
  <c r="M9" i="6"/>
  <c r="N9" i="6"/>
  <c r="O9" i="6"/>
  <c r="P9" i="6"/>
  <c r="Q9" i="6"/>
  <c r="A10" i="6"/>
  <c r="B10" i="6"/>
  <c r="C10" i="6"/>
  <c r="D10" i="6"/>
  <c r="E10" i="6"/>
  <c r="F10" i="6"/>
  <c r="G10" i="6"/>
  <c r="H10" i="6"/>
  <c r="I10" i="6"/>
  <c r="J10" i="6"/>
  <c r="K10" i="6"/>
  <c r="L10" i="6"/>
  <c r="M10" i="6"/>
  <c r="N10" i="6"/>
  <c r="O10" i="6"/>
  <c r="P10" i="6"/>
  <c r="Q10" i="6"/>
  <c r="A13" i="6"/>
  <c r="A33" i="3"/>
  <c r="F30" i="3"/>
  <c r="E30" i="3"/>
  <c r="D30" i="3"/>
  <c r="C30" i="3"/>
  <c r="B30" i="3"/>
  <c r="A30" i="3"/>
  <c r="F29" i="3"/>
  <c r="E29" i="3"/>
  <c r="D29" i="3"/>
  <c r="C29" i="3"/>
  <c r="B29" i="3"/>
  <c r="A29" i="3"/>
  <c r="F28" i="3"/>
  <c r="E28" i="3"/>
  <c r="D28" i="3"/>
  <c r="C28" i="3"/>
  <c r="B28" i="3"/>
  <c r="A28" i="3"/>
  <c r="F27" i="3"/>
  <c r="E27" i="3"/>
  <c r="D27" i="3"/>
  <c r="C27" i="3"/>
  <c r="B27" i="3"/>
  <c r="A27" i="3"/>
  <c r="F26" i="3"/>
  <c r="E26" i="3"/>
  <c r="D26" i="3"/>
  <c r="C26" i="3"/>
  <c r="B26" i="3"/>
  <c r="A26" i="3"/>
  <c r="F25" i="3"/>
  <c r="E25" i="3"/>
  <c r="D25" i="3"/>
  <c r="C25" i="3"/>
  <c r="B25" i="3"/>
  <c r="A25" i="3"/>
  <c r="F24" i="3"/>
  <c r="E24" i="3"/>
  <c r="D24" i="3"/>
  <c r="C24" i="3"/>
  <c r="B24" i="3"/>
  <c r="A24" i="3"/>
  <c r="F23" i="3"/>
  <c r="E23" i="3"/>
  <c r="D23" i="3"/>
  <c r="C23" i="3"/>
  <c r="B23" i="3"/>
  <c r="A23" i="3"/>
  <c r="F22" i="3"/>
  <c r="E22" i="3"/>
  <c r="D22" i="3"/>
  <c r="C22" i="3"/>
  <c r="B22" i="3"/>
  <c r="A22" i="3"/>
  <c r="F21" i="3"/>
  <c r="E21" i="3"/>
  <c r="D21" i="3"/>
  <c r="C21" i="3"/>
  <c r="B21" i="3"/>
  <c r="A21" i="3"/>
  <c r="F20" i="3"/>
  <c r="E20" i="3"/>
  <c r="D20" i="3"/>
  <c r="C20" i="3"/>
  <c r="B20" i="3"/>
  <c r="A20" i="3"/>
  <c r="F19" i="3"/>
  <c r="E19" i="3"/>
  <c r="D19" i="3"/>
  <c r="C19" i="3"/>
  <c r="B19" i="3"/>
  <c r="A19" i="3"/>
  <c r="F18" i="3"/>
  <c r="E18" i="3"/>
  <c r="D18" i="3"/>
  <c r="C18" i="3"/>
  <c r="B18" i="3"/>
  <c r="A18" i="3"/>
  <c r="F17" i="3"/>
  <c r="E17" i="3"/>
  <c r="D17" i="3"/>
  <c r="C17" i="3"/>
  <c r="B17" i="3"/>
  <c r="A17" i="3"/>
  <c r="F16" i="3"/>
  <c r="E16" i="3"/>
  <c r="D16" i="3"/>
  <c r="C16" i="3"/>
  <c r="B16" i="3"/>
  <c r="A16" i="3"/>
  <c r="F15" i="3"/>
  <c r="E15" i="3"/>
  <c r="D15" i="3"/>
  <c r="C15" i="3"/>
  <c r="B15" i="3"/>
  <c r="A15" i="3"/>
  <c r="F14" i="3"/>
  <c r="E14" i="3"/>
  <c r="D14" i="3"/>
  <c r="C14" i="3"/>
  <c r="B14" i="3"/>
  <c r="A14" i="3"/>
  <c r="F13" i="3"/>
  <c r="E13" i="3"/>
  <c r="D13" i="3"/>
  <c r="C13" i="3"/>
  <c r="B13" i="3"/>
  <c r="A13" i="3"/>
  <c r="F12" i="3"/>
  <c r="E12" i="3"/>
  <c r="D12" i="3"/>
  <c r="C12" i="3"/>
  <c r="B12" i="3"/>
  <c r="A12" i="3"/>
  <c r="F11" i="3"/>
  <c r="E11" i="3"/>
  <c r="D11" i="3"/>
  <c r="C11" i="3"/>
  <c r="B11" i="3"/>
  <c r="A11" i="3"/>
  <c r="F10" i="3"/>
  <c r="E10" i="3"/>
  <c r="D10" i="3"/>
  <c r="C10" i="3"/>
  <c r="B10" i="3"/>
  <c r="A10" i="3"/>
  <c r="F9" i="3"/>
  <c r="E9" i="3"/>
  <c r="D9" i="3"/>
  <c r="C9" i="3"/>
  <c r="B9" i="3"/>
  <c r="A9" i="3"/>
  <c r="F8" i="3"/>
  <c r="E8" i="3"/>
  <c r="D8" i="3"/>
  <c r="C8" i="3"/>
  <c r="B8" i="3"/>
  <c r="A8" i="3"/>
  <c r="F7" i="3"/>
  <c r="E7" i="3"/>
  <c r="D7" i="3"/>
  <c r="C7" i="3"/>
  <c r="B7" i="3"/>
  <c r="A7" i="3"/>
  <c r="F6" i="3"/>
  <c r="E6" i="3"/>
  <c r="D6" i="3"/>
  <c r="C6" i="3"/>
  <c r="B6" i="3"/>
  <c r="A6" i="3"/>
  <c r="F5" i="3"/>
  <c r="E5" i="3"/>
  <c r="D5" i="3"/>
  <c r="C5" i="3"/>
  <c r="B5" i="3"/>
  <c r="A5" i="3"/>
  <c r="F4" i="3"/>
  <c r="E4" i="3"/>
  <c r="D4" i="3"/>
  <c r="C4" i="3"/>
  <c r="B4" i="3"/>
  <c r="A4" i="3"/>
  <c r="F3" i="3"/>
  <c r="E3" i="3"/>
  <c r="D3" i="3"/>
  <c r="C3" i="3"/>
  <c r="B3" i="3"/>
  <c r="A3" i="3"/>
  <c r="F2" i="3"/>
  <c r="E2" i="3"/>
  <c r="D2" i="3"/>
  <c r="C2" i="3"/>
  <c r="B2" i="3"/>
  <c r="A2" i="3"/>
  <c r="F1" i="3"/>
  <c r="E1" i="3"/>
  <c r="D1" i="3"/>
  <c r="C1" i="3"/>
  <c r="B1" i="3"/>
  <c r="A1" i="3"/>
  <c r="F22" i="2"/>
  <c r="A36" i="2"/>
  <c r="A36" i="1"/>
  <c r="F33" i="1"/>
  <c r="E33" i="1"/>
  <c r="D33" i="1"/>
  <c r="C33" i="1"/>
  <c r="B33" i="1"/>
  <c r="A33" i="1"/>
  <c r="F32" i="1"/>
  <c r="E32" i="1"/>
  <c r="D32" i="1"/>
  <c r="C32" i="1"/>
  <c r="B32" i="1"/>
  <c r="A32" i="1"/>
  <c r="F31" i="1"/>
  <c r="E31" i="1"/>
  <c r="D31" i="1"/>
  <c r="C31" i="1"/>
  <c r="B31" i="1"/>
  <c r="A31" i="1"/>
  <c r="F30" i="1"/>
  <c r="E30" i="1"/>
  <c r="D30" i="1"/>
  <c r="C30" i="1"/>
  <c r="B30" i="1"/>
  <c r="A30" i="1"/>
  <c r="F29" i="1"/>
  <c r="E29" i="1"/>
  <c r="D29" i="1"/>
  <c r="C29" i="1"/>
  <c r="B29" i="1"/>
  <c r="A29" i="1"/>
  <c r="F28" i="1"/>
  <c r="E28" i="1"/>
  <c r="D28" i="1"/>
  <c r="C28" i="1"/>
  <c r="B28" i="1"/>
  <c r="A28" i="1"/>
  <c r="F27" i="1"/>
  <c r="E27" i="1"/>
  <c r="D27" i="1"/>
  <c r="C27" i="1"/>
  <c r="B27" i="1"/>
  <c r="A27" i="1"/>
  <c r="E26" i="1"/>
  <c r="D26" i="1"/>
  <c r="C26" i="1"/>
  <c r="B26" i="1"/>
  <c r="A26" i="1"/>
  <c r="E25" i="1"/>
  <c r="D25" i="1"/>
  <c r="C25" i="1"/>
  <c r="B25" i="1"/>
  <c r="A25" i="1"/>
  <c r="E24" i="1"/>
  <c r="D24" i="1"/>
  <c r="C24" i="1"/>
  <c r="B24" i="1"/>
  <c r="A24" i="1"/>
  <c r="E23" i="1"/>
  <c r="D23" i="1"/>
  <c r="C23" i="1"/>
  <c r="B23" i="1"/>
  <c r="A23" i="1"/>
  <c r="E22" i="1"/>
  <c r="D22" i="1"/>
  <c r="C22" i="1"/>
  <c r="B22" i="1"/>
  <c r="A22" i="1"/>
  <c r="E21" i="1"/>
  <c r="D21" i="1"/>
  <c r="C21" i="1"/>
  <c r="B21" i="1"/>
  <c r="A21" i="1"/>
  <c r="E20" i="1"/>
  <c r="D20" i="1"/>
  <c r="C20" i="1"/>
  <c r="B20" i="1"/>
  <c r="A20" i="1"/>
  <c r="E19" i="1"/>
  <c r="D19" i="1"/>
  <c r="C19" i="1"/>
  <c r="B19" i="1"/>
  <c r="A19" i="1"/>
  <c r="F18" i="1"/>
  <c r="E18" i="1"/>
  <c r="D18" i="1"/>
  <c r="C18" i="1"/>
  <c r="B18" i="1"/>
  <c r="A18" i="1"/>
  <c r="F17" i="1"/>
  <c r="E17" i="1"/>
  <c r="D17" i="1"/>
  <c r="C17" i="1"/>
  <c r="B17" i="1"/>
  <c r="A17" i="1"/>
  <c r="F16" i="1"/>
  <c r="E16" i="1"/>
  <c r="D16" i="1"/>
  <c r="C16" i="1"/>
  <c r="B16" i="1"/>
  <c r="A16" i="1"/>
  <c r="F15" i="1"/>
  <c r="E15" i="1"/>
  <c r="D15" i="1"/>
  <c r="C15" i="1"/>
  <c r="B15" i="1"/>
  <c r="A15" i="1"/>
  <c r="F14" i="1"/>
  <c r="E14" i="1"/>
  <c r="D14" i="1"/>
  <c r="C14" i="1"/>
  <c r="B14" i="1"/>
  <c r="A14" i="1"/>
  <c r="F13" i="1"/>
  <c r="E13" i="1"/>
  <c r="D13" i="1"/>
  <c r="C13" i="1"/>
  <c r="B13" i="1"/>
  <c r="A13" i="1"/>
  <c r="F12" i="1"/>
  <c r="E12" i="1"/>
  <c r="D12" i="1"/>
  <c r="C12" i="1"/>
  <c r="B12" i="1"/>
  <c r="A12" i="1"/>
  <c r="F11" i="1"/>
  <c r="E11" i="1"/>
  <c r="D11" i="1"/>
  <c r="C11" i="1"/>
  <c r="B11" i="1"/>
  <c r="A11" i="1"/>
  <c r="F10" i="1"/>
  <c r="E10" i="1"/>
  <c r="D10" i="1"/>
  <c r="C10" i="1"/>
  <c r="B10" i="1"/>
  <c r="A10" i="1"/>
  <c r="F9" i="1"/>
  <c r="E9" i="1"/>
  <c r="D9" i="1"/>
  <c r="C9" i="1"/>
  <c r="B9" i="1"/>
  <c r="A9" i="1"/>
  <c r="F8" i="1"/>
  <c r="E8" i="1"/>
  <c r="D8" i="1"/>
  <c r="C8" i="1"/>
  <c r="B8" i="1"/>
  <c r="A8" i="1"/>
  <c r="F7" i="1"/>
  <c r="E7" i="1"/>
  <c r="D7" i="1"/>
  <c r="C7" i="1"/>
  <c r="B7" i="1"/>
  <c r="A7" i="1"/>
  <c r="F6" i="1"/>
  <c r="E6" i="1"/>
  <c r="D6" i="1"/>
  <c r="C6" i="1"/>
  <c r="B6" i="1"/>
  <c r="A6" i="1"/>
  <c r="F5" i="1"/>
  <c r="E5" i="1"/>
  <c r="D5" i="1"/>
  <c r="C5" i="1"/>
  <c r="B5" i="1"/>
  <c r="A5" i="1"/>
  <c r="F4" i="1"/>
  <c r="E4" i="1"/>
  <c r="D4" i="1"/>
  <c r="C4" i="1"/>
  <c r="B4" i="1"/>
  <c r="A4" i="1"/>
  <c r="F3" i="1"/>
  <c r="E3" i="1"/>
  <c r="D3" i="1"/>
  <c r="C3" i="1"/>
  <c r="B3" i="1"/>
  <c r="A3" i="1"/>
  <c r="F2" i="1"/>
  <c r="E2" i="1"/>
  <c r="D2" i="1"/>
  <c r="C2" i="1"/>
  <c r="B2" i="1"/>
  <c r="A2" i="1"/>
  <c r="A2" i="2"/>
  <c r="B2" i="2"/>
  <c r="C2" i="2"/>
  <c r="D2" i="2"/>
  <c r="E2" i="2"/>
  <c r="F2" i="2"/>
  <c r="A3" i="2"/>
  <c r="B3" i="2"/>
  <c r="C3" i="2"/>
  <c r="D3" i="2"/>
  <c r="E3" i="2"/>
  <c r="F3" i="2"/>
  <c r="A4" i="2"/>
  <c r="B4" i="2"/>
  <c r="C4" i="2"/>
  <c r="D4" i="2"/>
  <c r="E4" i="2"/>
  <c r="F4" i="2"/>
  <c r="A5" i="2"/>
  <c r="B5" i="2"/>
  <c r="C5" i="2"/>
  <c r="D5" i="2"/>
  <c r="E5" i="2"/>
  <c r="F5" i="2"/>
  <c r="A6" i="2"/>
  <c r="B6" i="2"/>
  <c r="C6" i="2"/>
  <c r="D6" i="2"/>
  <c r="E6" i="2"/>
  <c r="F6" i="2"/>
  <c r="A7" i="2"/>
  <c r="B7" i="2"/>
  <c r="C7" i="2"/>
  <c r="D7" i="2"/>
  <c r="E7" i="2"/>
  <c r="F7" i="2"/>
  <c r="A8" i="2"/>
  <c r="B8" i="2"/>
  <c r="C8" i="2"/>
  <c r="D8" i="2"/>
  <c r="E8" i="2"/>
  <c r="F8" i="2"/>
  <c r="A9" i="2"/>
  <c r="B9" i="2"/>
  <c r="C9" i="2"/>
  <c r="D9" i="2"/>
  <c r="E9" i="2"/>
  <c r="F9" i="2"/>
  <c r="A10" i="2"/>
  <c r="B10" i="2"/>
  <c r="C10" i="2"/>
  <c r="D10" i="2"/>
  <c r="E10" i="2"/>
  <c r="F10" i="2"/>
  <c r="A11" i="2"/>
  <c r="B11" i="2"/>
  <c r="C11" i="2"/>
  <c r="D11" i="2"/>
  <c r="E11" i="2"/>
  <c r="F11" i="2"/>
  <c r="A12" i="2"/>
  <c r="B12" i="2"/>
  <c r="C12" i="2"/>
  <c r="D12" i="2"/>
  <c r="E12" i="2"/>
  <c r="F12" i="2"/>
  <c r="A13" i="2"/>
  <c r="B13" i="2"/>
  <c r="C13" i="2"/>
  <c r="D13" i="2"/>
  <c r="E13" i="2"/>
  <c r="F13" i="2"/>
  <c r="A14" i="2"/>
  <c r="B14" i="2"/>
  <c r="C14" i="2"/>
  <c r="D14" i="2"/>
  <c r="E14" i="2"/>
  <c r="F14" i="2"/>
  <c r="A15" i="2"/>
  <c r="B15" i="2"/>
  <c r="C15" i="2"/>
  <c r="D15" i="2"/>
  <c r="E15" i="2"/>
  <c r="A16" i="2"/>
  <c r="B16" i="2"/>
  <c r="C16" i="2"/>
  <c r="D16" i="2"/>
  <c r="E16" i="2"/>
  <c r="A17" i="2"/>
  <c r="B17" i="2"/>
  <c r="C17" i="2"/>
  <c r="D17" i="2"/>
  <c r="E17" i="2"/>
  <c r="A18" i="2"/>
  <c r="B18" i="2"/>
  <c r="C18" i="2"/>
  <c r="D18" i="2"/>
  <c r="E18" i="2"/>
  <c r="A19" i="2"/>
  <c r="B19" i="2"/>
  <c r="C19" i="2"/>
  <c r="D19" i="2"/>
  <c r="E19" i="2"/>
  <c r="A20" i="2"/>
  <c r="B20" i="2"/>
  <c r="C20" i="2"/>
  <c r="D20" i="2"/>
  <c r="E20" i="2"/>
  <c r="A21" i="2"/>
  <c r="B21" i="2"/>
  <c r="C21" i="2"/>
  <c r="D21" i="2"/>
  <c r="E21" i="2"/>
  <c r="A22" i="2"/>
  <c r="B22" i="2"/>
  <c r="C22" i="2"/>
  <c r="D22" i="2"/>
  <c r="E22" i="2"/>
  <c r="A23" i="2"/>
  <c r="B23" i="2"/>
  <c r="C23" i="2"/>
  <c r="D23" i="2"/>
  <c r="E23" i="2"/>
  <c r="F23" i="2"/>
  <c r="A24" i="2"/>
  <c r="B24" i="2"/>
  <c r="C24" i="2"/>
  <c r="D24" i="2"/>
  <c r="E24" i="2"/>
  <c r="F24" i="2"/>
  <c r="A25" i="2"/>
  <c r="B25" i="2"/>
  <c r="C25" i="2"/>
  <c r="D25" i="2"/>
  <c r="E25" i="2"/>
  <c r="F25" i="2"/>
  <c r="A26" i="2"/>
  <c r="B26" i="2"/>
  <c r="C26" i="2"/>
  <c r="D26" i="2"/>
  <c r="E26" i="2"/>
  <c r="F26" i="2"/>
  <c r="A27" i="2"/>
  <c r="B27" i="2"/>
  <c r="C27" i="2"/>
  <c r="D27" i="2"/>
  <c r="E27" i="2"/>
  <c r="F27" i="2"/>
  <c r="A28" i="2"/>
  <c r="B28" i="2"/>
  <c r="C28" i="2"/>
  <c r="D28" i="2"/>
  <c r="E28" i="2"/>
  <c r="F28" i="2"/>
  <c r="A29" i="2"/>
  <c r="B29" i="2"/>
  <c r="C29" i="2"/>
  <c r="D29" i="2"/>
  <c r="E29" i="2"/>
  <c r="F29" i="2"/>
  <c r="A30" i="2"/>
  <c r="B30" i="2"/>
  <c r="C30" i="2"/>
  <c r="D30" i="2"/>
  <c r="E30" i="2"/>
  <c r="F30" i="2"/>
  <c r="A31" i="2"/>
  <c r="B31" i="2"/>
  <c r="C31" i="2"/>
  <c r="D31" i="2"/>
  <c r="E31" i="2"/>
  <c r="F31" i="2"/>
  <c r="A32" i="2"/>
  <c r="B32" i="2"/>
  <c r="C32" i="2"/>
  <c r="D32" i="2"/>
  <c r="E32" i="2"/>
  <c r="F32" i="2"/>
  <c r="A33" i="2"/>
  <c r="B33" i="2"/>
  <c r="C33" i="2"/>
  <c r="D33" i="2"/>
  <c r="E33" i="2"/>
  <c r="F3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Minseon Park</author>
  </authors>
  <commentList>
    <comment ref="F2" authorId="0" shapeId="0" xr:uid="{5EE6C7E7-BF6C-F348-BBAB-14C91FE3FC75}">
      <text>
        <r>
          <rPr>
            <b/>
            <sz val="10"/>
            <color rgb="FF000000"/>
            <rFont val="Tahoma"/>
            <family val="2"/>
          </rPr>
          <t>Minseon Park:</t>
        </r>
        <r>
          <rPr>
            <sz val="10"/>
            <color rgb="FF000000"/>
            <rFont val="Tahoma"/>
            <family val="2"/>
          </rPr>
          <t xml:space="preserve">
</t>
        </r>
        <r>
          <rPr>
            <sz val="11"/>
            <color rgb="FF000000"/>
            <rFont val="Aptos Narrow"/>
            <family val="3"/>
            <charset val="129"/>
          </rPr>
          <t xml:space="preserve">Up to column (4) 
</t>
        </r>
        <r>
          <rPr>
            <sz val="11"/>
            <color rgb="FF000000"/>
            <rFont val="Aptos Narrow"/>
            <family val="3"/>
            <charset val="129"/>
          </rPr>
          <t xml:space="preserve">- individual CCEIs are importance source of group CCEI
</t>
        </r>
        <r>
          <rPr>
            <sz val="11"/>
            <color rgb="FF000000"/>
            <rFont val="Aptos Narrow"/>
            <family val="3"/>
            <charset val="129"/>
          </rPr>
          <t xml:space="preserve">- other observable characteristics minimally explain group CCEI
</t>
        </r>
        <r>
          <rPr>
            <sz val="11"/>
            <color rgb="FF000000"/>
            <rFont val="Aptos Narrow"/>
            <family val="3"/>
            <charset val="129"/>
          </rPr>
          <t xml:space="preserve">- no change over time
</t>
        </r>
        <r>
          <rPr>
            <sz val="11"/>
            <color rgb="FF000000"/>
            <rFont val="Aptos Narrow"/>
            <family val="3"/>
            <charset val="129"/>
          </rPr>
          <t xml:space="preserve">
</t>
        </r>
        <r>
          <rPr>
            <sz val="11"/>
            <color rgb="FF000000"/>
            <rFont val="Aptos Narrow"/>
            <family val="3"/>
            <charset val="129"/>
          </rPr>
          <t xml:space="preserve">
</t>
        </r>
        <r>
          <rPr>
            <sz val="11"/>
            <color rgb="FF000000"/>
            <rFont val="Aptos Narrow"/>
            <family val="3"/>
            <charset val="129"/>
          </rPr>
          <t xml:space="preserve">col (5)
</t>
        </r>
        <r>
          <rPr>
            <sz val="11"/>
            <color rgb="FF000000"/>
            <rFont val="Aptos Narrow"/>
            <family val="3"/>
            <charset val="129"/>
          </rPr>
          <t xml:space="preserve">- individual CCEIs are importat source of group CCEI, even within each group. group FE captures anything that's constant within group between pre and post; still any change in individual CCEIs positively affects group CCEI.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Minseon Park</author>
  </authors>
  <commentList>
    <comment ref="F3" authorId="0" shapeId="0" xr:uid="{6BC33FCE-E6A4-4842-9A4E-F8B51C1C9A8A}">
      <text>
        <r>
          <rPr>
            <b/>
            <sz val="10"/>
            <color rgb="FF000000"/>
            <rFont val="Tahoma"/>
            <family val="2"/>
          </rPr>
          <t>Minseon Park:</t>
        </r>
        <r>
          <rPr>
            <sz val="10"/>
            <color rgb="FF000000"/>
            <rFont val="Tahoma"/>
            <family val="2"/>
          </rPr>
          <t xml:space="preserve">
</t>
        </r>
        <r>
          <rPr>
            <sz val="10"/>
            <color rgb="FF000000"/>
            <rFont val="Aptos Narrow"/>
            <family val="3"/>
            <charset val="129"/>
          </rPr>
          <t xml:space="preserve">Up to column (4) 
</t>
        </r>
        <r>
          <rPr>
            <sz val="10"/>
            <color rgb="FF000000"/>
            <rFont val="Aptos Narrow"/>
            <family val="3"/>
            <charset val="129"/>
          </rPr>
          <t xml:space="preserve">- individual CCEIs are importance source of bargaining power measured using CCEI as well
</t>
        </r>
        <r>
          <rPr>
            <sz val="10"/>
            <color rgb="FF000000"/>
            <rFont val="Aptos Narrow"/>
            <family val="3"/>
            <charset val="129"/>
          </rPr>
          <t xml:space="preserve">- other observable characteristics minimally explain group CCEI
</t>
        </r>
        <r>
          <rPr>
            <sz val="10"/>
            <color rgb="FF000000"/>
            <rFont val="Aptos Narrow"/>
            <family val="3"/>
            <charset val="129"/>
          </rPr>
          <t xml:space="preserve">- yes change over time
</t>
        </r>
        <r>
          <rPr>
            <sz val="10"/>
            <color rgb="FF000000"/>
            <rFont val="Aptos Narrow"/>
            <family val="3"/>
            <charset val="129"/>
          </rPr>
          <t xml:space="preserve">
</t>
        </r>
        <r>
          <rPr>
            <sz val="10"/>
            <color rgb="FF000000"/>
            <rFont val="Aptos Narrow"/>
            <family val="3"/>
            <charset val="129"/>
          </rPr>
          <t xml:space="preserve">col (5)
</t>
        </r>
        <r>
          <rPr>
            <sz val="10"/>
            <color rgb="FF000000"/>
            <rFont val="Aptos Narrow"/>
            <family val="3"/>
            <charset val="129"/>
          </rPr>
          <t>- individual CCEIs are importat source of group CCEI, even after controlling for individual FEs. individual FEs capture anythying that does not change over time. bargaining power follows individual CCEI, rather than the identity of individual with higher CCEI.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Minseon Park</author>
  </authors>
  <commentList>
    <comment ref="F1" authorId="0" shapeId="0" xr:uid="{DBE8E5A1-4C48-7F43-96DC-2A82CA65F468}">
      <text>
        <r>
          <rPr>
            <b/>
            <sz val="10"/>
            <color rgb="FF000000"/>
            <rFont val="Tahoma"/>
            <family val="2"/>
          </rPr>
          <t>Minseon Park:</t>
        </r>
        <r>
          <rPr>
            <sz val="10"/>
            <color rgb="FF000000"/>
            <rFont val="Tahoma"/>
            <family val="2"/>
          </rPr>
          <t xml:space="preserve">
</t>
        </r>
        <r>
          <rPr>
            <sz val="10"/>
            <color rgb="FF000000"/>
            <rFont val="Aptos Narrow"/>
            <family val="3"/>
            <charset val="129"/>
          </rPr>
          <t xml:space="preserve">The table shows two things
</t>
        </r>
        <r>
          <rPr>
            <sz val="10"/>
            <color rgb="FF000000"/>
            <rFont val="Aptos Narrow"/>
            <family val="3"/>
            <charset val="129"/>
          </rPr>
          <t xml:space="preserve">- preference aggregation: individual RAs are importance source of group RA
</t>
        </r>
        <r>
          <rPr>
            <sz val="10"/>
            <color rgb="FF000000"/>
            <rFont val="Aptos Narrow"/>
            <family val="3"/>
            <charset val="129"/>
          </rPr>
          <t xml:space="preserve">- bargaining using RA measure: high CCEI individual's RA affect group RA more, and the pattern is stronger (or only significant) in the end line 
</t>
        </r>
        <r>
          <rPr>
            <sz val="10"/>
            <color rgb="FF000000"/>
            <rFont val="Aptos Narrow"/>
            <family val="3"/>
            <charset val="129"/>
          </rPr>
          <t xml:space="preserve">- other observable characteristics minimally explain both group RA and bargaining
</t>
        </r>
        <r>
          <rPr>
            <sz val="10"/>
            <color rgb="FF000000"/>
            <rFont val="Aptos Narrow"/>
            <family val="3"/>
            <charset val="129"/>
          </rPr>
          <t xml:space="preserve">
</t>
        </r>
        <r>
          <rPr>
            <sz val="10"/>
            <color rgb="FF000000"/>
            <rFont val="Aptos Narrow"/>
            <family val="3"/>
            <charset val="129"/>
          </rPr>
          <t xml:space="preserve">in col (5), again group FE captures anything that's constant within group between pre and post. 
</t>
        </r>
        <r>
          <rPr>
            <sz val="10"/>
            <color rgb="FF000000"/>
            <rFont val="Aptos Narrow"/>
            <family val="3"/>
            <charset val="129"/>
          </rPr>
          <t xml:space="preserve">still individual RAs are important source of group RA, although differential bargaining weight becomes insignificant 
</t>
        </r>
        <r>
          <rPr>
            <sz val="10"/>
            <color rgb="FF000000"/>
            <rFont val="Aptos Narrow"/>
            <family val="3"/>
            <charset val="129"/>
          </rPr>
          <t xml:space="preserve">
</t>
        </r>
        <r>
          <rPr>
            <sz val="10"/>
            <color rgb="FF000000"/>
            <rFont val="Aptos Narrow"/>
            <family val="3"/>
            <charset val="129"/>
          </rPr>
          <t>comparison to the previous studies on group risk aversion</t>
        </r>
      </text>
    </comment>
  </commentList>
</comments>
</file>

<file path=xl/sharedStrings.xml><?xml version="1.0" encoding="utf-8"?>
<sst xmlns="http://schemas.openxmlformats.org/spreadsheetml/2006/main" count="106" uniqueCount="48">
  <si>
    <t>class FE</t>
  </si>
  <si>
    <t>yes</t>
  </si>
  <si>
    <t>no</t>
  </si>
  <si>
    <t>group FE</t>
  </si>
  <si>
    <t>="+ p&lt;0.1</t>
  </si>
  <si>
    <t xml:space="preserve"> * p&lt;0.05</t>
  </si>
  <si>
    <t xml:space="preserve"> ** p&lt;0.01"</t>
  </si>
  <si>
    <t>-</t>
  </si>
  <si>
    <t>Shapely Decomp.</t>
  </si>
  <si>
    <t>Suest Prob &gt; chi2</t>
    <phoneticPr fontId="0" type="noConversion"/>
  </si>
  <si>
    <t>Suest Chi2 (beta_HighCCEI = beta_HighCCEI)</t>
    <phoneticPr fontId="0" type="noConversion"/>
  </si>
  <si>
    <t>16</t>
  </si>
  <si>
    <t>15</t>
  </si>
  <si>
    <t>14</t>
  </si>
  <si>
    <t>13</t>
  </si>
  <si>
    <t>12</t>
  </si>
  <si>
    <t>11</t>
  </si>
  <si>
    <t>10</t>
  </si>
  <si>
    <t>9</t>
  </si>
  <si>
    <t>8</t>
  </si>
  <si>
    <t>7</t>
  </si>
  <si>
    <t>6</t>
  </si>
  <si>
    <t>5</t>
  </si>
  <si>
    <t>4</t>
  </si>
  <si>
    <t>3</t>
  </si>
  <si>
    <t>2</t>
  </si>
  <si>
    <t>1</t>
  </si>
  <si>
    <t>group 3: class pariticipation without mentioning PBL</t>
  </si>
  <si>
    <t>group 2: PBL related</t>
  </si>
  <si>
    <t>group 1: mutual friendship, observable characteristics</t>
  </si>
  <si>
    <t>95% CI</t>
    <phoneticPr fontId="4" type="noConversion"/>
  </si>
  <si>
    <t>="[-0.474,-0.403]"</t>
  </si>
  <si>
    <t>="[-0.541,-0.410]"</t>
  </si>
  <si>
    <t>="[-0.497,-0.349]"</t>
  </si>
  <si>
    <t>="[-0.481,-0.417]"</t>
  </si>
  <si>
    <t>="[-0.470,-0.405]"</t>
  </si>
  <si>
    <t>="[-0.526,-0.396]"</t>
  </si>
  <si>
    <t>="[-0.464,-0.403]"</t>
  </si>
  <si>
    <t>="[-0.693,-0.478]"</t>
  </si>
  <si>
    <t>="[-0.470,-0.409]"</t>
  </si>
  <si>
    <t>="[-0.773,-0.358]"</t>
  </si>
  <si>
    <t>="[-0.467,-0.399]"</t>
  </si>
  <si>
    <t>="[-0.609,-0.448]"</t>
  </si>
  <si>
    <t>="[-0.472,-0.405]"</t>
  </si>
  <si>
    <t>="[-0.563,-0.407]"</t>
  </si>
  <si>
    <t>="[-0.470,-0.401]"</t>
  </si>
  <si>
    <t>="[-0.597,-0.420]"</t>
  </si>
  <si>
    <t>individual FE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</si>
</sst>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0"/>
      <color rgb="FF000000"/>
      <name val="Tahoma"/>
      <family val="2"/>
    </font>
    <font>
      <b/>
      <sz val="10"/>
      <color rgb="FF000000"/>
      <name val="Tahoma"/>
      <family val="2"/>
    </font>
    <font>
      <sz val="11"/>
      <color theme="1"/>
      <name val="Aptos Narrow"/>
      <family val="2"/>
      <charset val="129"/>
      <scheme val="minor"/>
    </font>
    <font>
      <sz val="8"/>
      <name val="Aptos Narrow"/>
      <family val="3"/>
      <charset val="129"/>
      <scheme val="minor"/>
    </font>
    <font>
      <sz val="11"/>
      <color rgb="FF000000"/>
      <name val="Aptos Narrow"/>
      <family val="3"/>
      <charset val="129"/>
    </font>
    <font>
      <sz val="10"/>
      <color rgb="FF000000"/>
      <name val="Aptos Narrow"/>
      <family val="3"/>
      <charset val="129"/>
    </font>
  </fonts>
  <fills count="7">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3" fillId="0" borderId="0">
      <alignment vertical="center"/>
    </xf>
  </cellStyleXfs>
  <cellXfs count="14">
    <xf numFmtId="0" fontId="0" fillId="0" borderId="0" xfId="0"/>
    <xf numFmtId="0" fontId="0" fillId="0" borderId="0" xfId="0" applyAlignment="1">
      <alignment horizontal="center"/>
    </xf>
    <xf numFmtId="0" fontId="3" fillId="0" borderId="0" xfId="1">
      <alignment vertical="center"/>
    </xf>
    <xf numFmtId="0" fontId="3" fillId="0" borderId="0" xfId="1" applyAlignment="1">
      <alignment horizontal="center" vertical="center"/>
    </xf>
    <xf numFmtId="0" fontId="3" fillId="2" borderId="0" xfId="1" applyFill="1" applyAlignment="1">
      <alignment horizontal="center" vertical="center"/>
    </xf>
    <xf numFmtId="0" fontId="3" fillId="3" borderId="0" xfId="1" applyFill="1" applyAlignment="1">
      <alignment horizontal="center" vertical="center"/>
    </xf>
    <xf numFmtId="0" fontId="3" fillId="4" borderId="0" xfId="1" quotePrefix="1" applyFill="1" applyAlignment="1">
      <alignment horizontal="center" vertical="center"/>
    </xf>
    <xf numFmtId="0" fontId="3" fillId="5" borderId="0" xfId="1" quotePrefix="1" applyFill="1" applyAlignment="1">
      <alignment horizontal="center" vertical="center"/>
    </xf>
    <xf numFmtId="0" fontId="3" fillId="6" borderId="0" xfId="1" quotePrefix="1" applyFill="1" applyAlignment="1">
      <alignment horizontal="center" vertical="center"/>
    </xf>
    <xf numFmtId="0" fontId="0" fillId="0" borderId="1" xfId="0" applyBorder="1" applyAlignment="1">
      <alignment vertical="center"/>
    </xf>
    <xf numFmtId="0" fontId="0" fillId="0" borderId="2" xfId="0" applyBorder="1" applyAlignment="1">
      <alignment vertical="center"/>
    </xf>
    <xf numFmtId="0" fontId="0" fillId="0" borderId="0" xfId="0" applyAlignment="1">
      <alignment horizontal="center" vertical="center"/>
    </xf>
    <xf numFmtId="0" fontId="0" fillId="0" borderId="0" xfId="0" applyAlignment="1">
      <alignment horizontal="left"/>
    </xf>
    <xf numFmtId="0" fontId="3" fillId="0" borderId="0" xfId="1" applyAlignment="1">
      <alignment horizontal="center" vertical="center"/>
    </xf>
  </cellXfs>
  <cellStyles count="2">
    <cellStyle name="Normal" xfId="0" builtinId="0"/>
    <cellStyle name="Normal 2" xfId="1" xr:uid="{7CB0E733-5901-2143-B820-0254F44678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88900</xdr:colOff>
      <xdr:row>3</xdr:row>
      <xdr:rowOff>12700</xdr:rowOff>
    </xdr:from>
    <xdr:to>
      <xdr:col>7</xdr:col>
      <xdr:colOff>622300</xdr:colOff>
      <xdr:row>21</xdr:row>
      <xdr:rowOff>12700</xdr:rowOff>
    </xdr:to>
    <xdr:pic>
      <xdr:nvPicPr>
        <xdr:cNvPr id="3" name="Picture 2">
          <a:extLst>
            <a:ext uri="{FF2B5EF4-FFF2-40B4-BE49-F238E27FC236}">
              <a16:creationId xmlns:a16="http://schemas.microsoft.com/office/drawing/2014/main" id="{C34B529F-2A5F-A066-C969-1ED3491348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0" y="622300"/>
          <a:ext cx="5486400" cy="3657600"/>
        </a:xfrm>
        <a:prstGeom prst="rect">
          <a:avLst/>
        </a:prstGeom>
      </xdr:spPr>
    </xdr:pic>
    <xdr:clientData/>
  </xdr:twoCellAnchor>
  <xdr:twoCellAnchor editAs="oneCell">
    <xdr:from>
      <xdr:col>8</xdr:col>
      <xdr:colOff>73800</xdr:colOff>
      <xdr:row>3</xdr:row>
      <xdr:rowOff>124600</xdr:rowOff>
    </xdr:from>
    <xdr:to>
      <xdr:col>14</xdr:col>
      <xdr:colOff>607200</xdr:colOff>
      <xdr:row>21</xdr:row>
      <xdr:rowOff>124600</xdr:rowOff>
    </xdr:to>
    <xdr:pic>
      <xdr:nvPicPr>
        <xdr:cNvPr id="5" name="Picture 4">
          <a:extLst>
            <a:ext uri="{FF2B5EF4-FFF2-40B4-BE49-F238E27FC236}">
              <a16:creationId xmlns:a16="http://schemas.microsoft.com/office/drawing/2014/main" id="{931EB607-2EA8-21B8-D9A0-3137C0424AC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77800" y="734200"/>
          <a:ext cx="5486400"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9AE6-18D9-B642-8C31-FB2F47CFD758}">
  <dimension ref="A1:F36"/>
  <sheetViews>
    <sheetView tabSelected="1" zoomScale="140" zoomScaleNormal="160" workbookViewId="0">
      <selection activeCell="D3" sqref="D3"/>
    </sheetView>
  </sheetViews>
  <sheetFormatPr baseColWidth="10" defaultColWidth="10.6640625" defaultRowHeight="16" x14ac:dyDescent="0.2"/>
  <cols>
    <col min="1" max="1" width="14" bestFit="1" customWidth="1"/>
    <col min="2" max="6" width="10.83203125" style="1"/>
  </cols>
  <sheetData>
    <row r="1" spans="1:6" x14ac:dyDescent="0.2">
      <c r="E1" s="1" t="s">
        <v>8</v>
      </c>
    </row>
    <row r="2" spans="1:6" x14ac:dyDescent="0.2">
      <c r="A2" t="str">
        <f>""</f>
        <v/>
      </c>
      <c r="B2" s="1" t="str">
        <f>"(1)"</f>
        <v>(1)</v>
      </c>
      <c r="C2" s="1" t="str">
        <f>"(2)"</f>
        <v>(2)</v>
      </c>
      <c r="D2" s="1" t="str">
        <f>"(3)"</f>
        <v>(3)</v>
      </c>
      <c r="E2" s="1" t="str">
        <f>"(4)"</f>
        <v>(4)</v>
      </c>
      <c r="F2" s="1" t="str">
        <f>"(5)"</f>
        <v>(5)</v>
      </c>
    </row>
    <row r="3" spans="1:6" x14ac:dyDescent="0.2">
      <c r="A3" t="str">
        <f>""</f>
        <v/>
      </c>
      <c r="B3" s="1" t="str">
        <f>"ccei_g"</f>
        <v>ccei_g</v>
      </c>
      <c r="C3" s="1" t="str">
        <f>"ccei_g"</f>
        <v>ccei_g</v>
      </c>
      <c r="D3" s="1" t="str">
        <f>"ccei_g"</f>
        <v>ccei_g</v>
      </c>
      <c r="E3" s="1" t="str">
        <f>"ccei_g"</f>
        <v>ccei_g</v>
      </c>
      <c r="F3" s="1" t="str">
        <f>"ccei_g"</f>
        <v>ccei_g</v>
      </c>
    </row>
    <row r="4" spans="1:6" x14ac:dyDescent="0.2">
      <c r="A4" t="str">
        <f>"ccei_max"</f>
        <v>ccei_max</v>
      </c>
      <c r="B4" s="1" t="str">
        <f>"0.362**"</f>
        <v>0.362**</v>
      </c>
      <c r="C4" s="1" t="str">
        <f>"0.350**"</f>
        <v>0.350**</v>
      </c>
      <c r="D4" s="1" t="str">
        <f>""</f>
        <v/>
      </c>
      <c r="E4" s="1" t="str">
        <f>"0.323**"</f>
        <v>0.323**</v>
      </c>
      <c r="F4" s="1" t="str">
        <f>"0.242*"</f>
        <v>0.242*</v>
      </c>
    </row>
    <row r="5" spans="1:6" x14ac:dyDescent="0.2">
      <c r="A5" t="str">
        <f>""</f>
        <v/>
      </c>
      <c r="B5" s="1" t="str">
        <f>"(0.081)"</f>
        <v>(0.081)</v>
      </c>
      <c r="C5" s="1" t="str">
        <f>"(0.096)"</f>
        <v>(0.096)</v>
      </c>
      <c r="D5" s="1" t="str">
        <f>""</f>
        <v/>
      </c>
      <c r="E5" s="1" t="str">
        <f>"(0.092)"</f>
        <v>(0.092)</v>
      </c>
      <c r="F5" s="1" t="str">
        <f>"(0.106)"</f>
        <v>(0.106)</v>
      </c>
    </row>
    <row r="6" spans="1:6" x14ac:dyDescent="0.2">
      <c r="A6" t="str">
        <f>"ccei_dist"</f>
        <v>ccei_dist</v>
      </c>
      <c r="B6" s="1" t="str">
        <f>"-0.234**"</f>
        <v>-0.234**</v>
      </c>
      <c r="C6" s="1" t="str">
        <f>"-0.271**"</f>
        <v>-0.271**</v>
      </c>
      <c r="D6" s="1" t="str">
        <f>""</f>
        <v/>
      </c>
      <c r="E6" s="1" t="str">
        <f>"-0.263**"</f>
        <v>-0.263**</v>
      </c>
      <c r="F6" s="1" t="str">
        <f>"-0.162**"</f>
        <v>-0.162**</v>
      </c>
    </row>
    <row r="7" spans="1:6" x14ac:dyDescent="0.2">
      <c r="A7" t="str">
        <f>""</f>
        <v/>
      </c>
      <c r="B7" s="1" t="str">
        <f>"(0.045)"</f>
        <v>(0.045)</v>
      </c>
      <c r="C7" s="1" t="str">
        <f>"(0.057)"</f>
        <v>(0.057)</v>
      </c>
      <c r="D7" s="1" t="str">
        <f>""</f>
        <v/>
      </c>
      <c r="E7" s="1" t="str">
        <f>"(0.056)"</f>
        <v>(0.056)</v>
      </c>
      <c r="F7" s="1" t="str">
        <f>"(0.044)"</f>
        <v>(0.044)</v>
      </c>
    </row>
    <row r="8" spans="1:6" x14ac:dyDescent="0.2">
      <c r="A8" t="str">
        <f>"endline"</f>
        <v>endline</v>
      </c>
      <c r="B8" s="1" t="str">
        <f>""</f>
        <v/>
      </c>
      <c r="C8" s="1" t="str">
        <f>"0.028"</f>
        <v>0.028</v>
      </c>
      <c r="D8" s="1" t="str">
        <f>""</f>
        <v/>
      </c>
      <c r="E8" s="1" t="str">
        <f>"-0.011"</f>
        <v>-0.011</v>
      </c>
      <c r="F8" s="1" t="str">
        <f>""</f>
        <v/>
      </c>
    </row>
    <row r="9" spans="1:6" x14ac:dyDescent="0.2">
      <c r="A9" t="str">
        <f>""</f>
        <v/>
      </c>
      <c r="B9" s="1" t="str">
        <f>""</f>
        <v/>
      </c>
      <c r="C9" s="1" t="str">
        <f>"(0.181)"</f>
        <v>(0.181)</v>
      </c>
      <c r="D9" s="1" t="str">
        <f>""</f>
        <v/>
      </c>
      <c r="E9" s="1" t="str">
        <f>"(0.183)"</f>
        <v>(0.183)</v>
      </c>
      <c r="F9" s="1" t="str">
        <f>""</f>
        <v/>
      </c>
    </row>
    <row r="10" spans="1:6" x14ac:dyDescent="0.2">
      <c r="A10" t="str">
        <f>"end_max"</f>
        <v>end_max</v>
      </c>
      <c r="B10" s="1" t="str">
        <f>""</f>
        <v/>
      </c>
      <c r="C10" s="1" t="str">
        <f>"-0.027"</f>
        <v>-0.027</v>
      </c>
      <c r="D10" s="1" t="str">
        <f>""</f>
        <v/>
      </c>
      <c r="E10" s="1" t="str">
        <f>"0.012"</f>
        <v>0.012</v>
      </c>
      <c r="F10" s="1" t="str">
        <f>""</f>
        <v/>
      </c>
    </row>
    <row r="11" spans="1:6" x14ac:dyDescent="0.2">
      <c r="A11" t="str">
        <f>""</f>
        <v/>
      </c>
      <c r="B11" s="1" t="str">
        <f>""</f>
        <v/>
      </c>
      <c r="C11" s="1" t="str">
        <f>"(0.183)"</f>
        <v>(0.183)</v>
      </c>
      <c r="D11" s="1" t="str">
        <f>""</f>
        <v/>
      </c>
      <c r="E11" s="1" t="str">
        <f>"(0.184)"</f>
        <v>(0.184)</v>
      </c>
      <c r="F11" s="1" t="str">
        <f>""</f>
        <v/>
      </c>
    </row>
    <row r="12" spans="1:6" x14ac:dyDescent="0.2">
      <c r="A12" t="str">
        <f>"end_dist"</f>
        <v>end_dist</v>
      </c>
      <c r="B12" s="1" t="str">
        <f>""</f>
        <v/>
      </c>
      <c r="C12" s="1" t="str">
        <f>"0.078"</f>
        <v>0.078</v>
      </c>
      <c r="D12" s="1" t="str">
        <f>""</f>
        <v/>
      </c>
      <c r="E12" s="1" t="str">
        <f>"0.075"</f>
        <v>0.075</v>
      </c>
      <c r="F12" s="1" t="str">
        <f>""</f>
        <v/>
      </c>
    </row>
    <row r="13" spans="1:6" x14ac:dyDescent="0.2">
      <c r="A13" t="str">
        <f>""</f>
        <v/>
      </c>
      <c r="B13" s="1" t="str">
        <f>""</f>
        <v/>
      </c>
      <c r="C13" s="1" t="str">
        <f>"(0.072)"</f>
        <v>(0.072)</v>
      </c>
      <c r="D13" s="1" t="str">
        <f>""</f>
        <v/>
      </c>
      <c r="E13" s="1" t="str">
        <f>"(0.073)"</f>
        <v>(0.073)</v>
      </c>
      <c r="F13" s="1" t="str">
        <f>""</f>
        <v/>
      </c>
    </row>
    <row r="14" spans="1:6" x14ac:dyDescent="0.2">
      <c r="A14" t="str">
        <f>"mathscore_max"</f>
        <v>mathscore_max</v>
      </c>
      <c r="B14" s="1" t="str">
        <f>""</f>
        <v/>
      </c>
      <c r="C14" s="1" t="str">
        <f>""</f>
        <v/>
      </c>
      <c r="D14" s="1" t="str">
        <f>"0.010*"</f>
        <v>0.010*</v>
      </c>
      <c r="E14" s="1" t="str">
        <f>"0.005"</f>
        <v>0.005</v>
      </c>
      <c r="F14" s="1" t="str">
        <f>"0.007"</f>
        <v>0.007</v>
      </c>
    </row>
    <row r="15" spans="1:6" x14ac:dyDescent="0.2">
      <c r="A15" t="str">
        <f>""</f>
        <v/>
      </c>
      <c r="B15" s="1" t="str">
        <f>""</f>
        <v/>
      </c>
      <c r="C15" s="1" t="str">
        <f>""</f>
        <v/>
      </c>
      <c r="D15" s="1" t="str">
        <f>"(0.004)"</f>
        <v>(0.004)</v>
      </c>
      <c r="E15" s="1" t="str">
        <f>"(0.004)"</f>
        <v>(0.004)</v>
      </c>
      <c r="F15" s="1" t="str">
        <f>"(0.006)"</f>
        <v>(0.006)</v>
      </c>
    </row>
    <row r="16" spans="1:6" x14ac:dyDescent="0.2">
      <c r="A16" t="str">
        <f>"mathscore_dist"</f>
        <v>mathscore_dist</v>
      </c>
      <c r="B16" s="1" t="str">
        <f>""</f>
        <v/>
      </c>
      <c r="C16" s="1" t="str">
        <f>""</f>
        <v/>
      </c>
      <c r="D16" s="1" t="str">
        <f>"-0.003"</f>
        <v>-0.003</v>
      </c>
      <c r="E16" s="1" t="str">
        <f>"-0.001"</f>
        <v>-0.001</v>
      </c>
      <c r="F16" s="1" t="str">
        <f>"0.002"</f>
        <v>0.002</v>
      </c>
    </row>
    <row r="17" spans="1:6" x14ac:dyDescent="0.2">
      <c r="A17" t="str">
        <f>""</f>
        <v/>
      </c>
      <c r="B17" s="1" t="str">
        <f>""</f>
        <v/>
      </c>
      <c r="C17" s="1" t="str">
        <f>""</f>
        <v/>
      </c>
      <c r="D17" s="1" t="str">
        <f>"(0.003)"</f>
        <v>(0.003)</v>
      </c>
      <c r="E17" s="1" t="str">
        <f>"(0.003)"</f>
        <v>(0.003)</v>
      </c>
      <c r="F17" s="1" t="str">
        <f>"(0.005)"</f>
        <v>(0.005)</v>
      </c>
    </row>
    <row r="18" spans="1:6" x14ac:dyDescent="0.2">
      <c r="A18" t="str">
        <f>"1.malepair"</f>
        <v>1.malepair</v>
      </c>
      <c r="B18" s="1" t="str">
        <f>""</f>
        <v/>
      </c>
      <c r="C18" s="1" t="str">
        <f>""</f>
        <v/>
      </c>
      <c r="D18" s="1" t="str">
        <f>"0.000"</f>
        <v>0.000</v>
      </c>
      <c r="E18" s="1" t="str">
        <f>"0.000"</f>
        <v>0.000</v>
      </c>
      <c r="F18" s="1" t="str">
        <f>"0.000"</f>
        <v>0.000</v>
      </c>
    </row>
    <row r="19" spans="1:6" x14ac:dyDescent="0.2">
      <c r="A19" t="str">
        <f>""</f>
        <v/>
      </c>
      <c r="B19" s="1" t="str">
        <f>""</f>
        <v/>
      </c>
      <c r="C19" s="1" t="str">
        <f>""</f>
        <v/>
      </c>
      <c r="D19" s="1" t="str">
        <f>"(.)"</f>
        <v>(.)</v>
      </c>
      <c r="E19" s="1" t="str">
        <f>"(.)"</f>
        <v>(.)</v>
      </c>
      <c r="F19" s="1" t="s">
        <v>7</v>
      </c>
    </row>
    <row r="20" spans="1:6" x14ac:dyDescent="0.2">
      <c r="A20" t="str">
        <f>"2.malepair"</f>
        <v>2.malepair</v>
      </c>
      <c r="B20" s="1" t="str">
        <f>""</f>
        <v/>
      </c>
      <c r="C20" s="1" t="str">
        <f>""</f>
        <v/>
      </c>
      <c r="D20" s="1" t="str">
        <f>"-0.008"</f>
        <v>-0.008</v>
      </c>
      <c r="E20" s="1" t="str">
        <f>"-0.007"</f>
        <v>-0.007</v>
      </c>
      <c r="F20" s="1" t="s">
        <v>7</v>
      </c>
    </row>
    <row r="21" spans="1:6" x14ac:dyDescent="0.2">
      <c r="A21" t="str">
        <f>""</f>
        <v/>
      </c>
      <c r="B21" s="1" t="str">
        <f>""</f>
        <v/>
      </c>
      <c r="C21" s="1" t="str">
        <f>""</f>
        <v/>
      </c>
      <c r="D21" s="1" t="str">
        <f>"(0.021)"</f>
        <v>(0.021)</v>
      </c>
      <c r="E21" s="1" t="str">
        <f>"(0.020)"</f>
        <v>(0.020)</v>
      </c>
      <c r="F21" s="1" t="s">
        <v>7</v>
      </c>
    </row>
    <row r="22" spans="1:6" x14ac:dyDescent="0.2">
      <c r="A22" t="str">
        <f>"3.malepair"</f>
        <v>3.malepair</v>
      </c>
      <c r="B22" s="1" t="str">
        <f>""</f>
        <v/>
      </c>
      <c r="C22" s="1" t="str">
        <f>""</f>
        <v/>
      </c>
      <c r="D22" s="1" t="str">
        <f>"-0.010"</f>
        <v>-0.010</v>
      </c>
      <c r="E22" s="1" t="str">
        <f>"-0.010"</f>
        <v>-0.010</v>
      </c>
      <c r="F22" s="1" t="s">
        <v>7</v>
      </c>
    </row>
    <row r="23" spans="1:6" x14ac:dyDescent="0.2">
      <c r="A23" t="str">
        <f>""</f>
        <v/>
      </c>
      <c r="B23" s="1" t="str">
        <f>""</f>
        <v/>
      </c>
      <c r="C23" s="1" t="str">
        <f>""</f>
        <v/>
      </c>
      <c r="D23" s="1" t="str">
        <f>"(0.020)"</f>
        <v>(0.020)</v>
      </c>
      <c r="E23" s="1" t="str">
        <f>"(0.019)"</f>
        <v>(0.019)</v>
      </c>
      <c r="F23" s="1" t="s">
        <v>7</v>
      </c>
    </row>
    <row r="24" spans="1:6" x14ac:dyDescent="0.2">
      <c r="A24" t="str">
        <f>"4.malepair"</f>
        <v>4.malepair</v>
      </c>
      <c r="B24" s="1" t="str">
        <f>""</f>
        <v/>
      </c>
      <c r="C24" s="1" t="str">
        <f>""</f>
        <v/>
      </c>
      <c r="D24" s="1" t="str">
        <f>"0.022"</f>
        <v>0.022</v>
      </c>
      <c r="E24" s="1" t="str">
        <f>"0.020"</f>
        <v>0.020</v>
      </c>
      <c r="F24" s="1" t="s">
        <v>7</v>
      </c>
    </row>
    <row r="25" spans="1:6" x14ac:dyDescent="0.2">
      <c r="A25" t="str">
        <f>""</f>
        <v/>
      </c>
      <c r="B25" s="1" t="str">
        <f>""</f>
        <v/>
      </c>
      <c r="C25" s="1" t="str">
        <f>""</f>
        <v/>
      </c>
      <c r="D25" s="1" t="str">
        <f>"(0.016)"</f>
        <v>(0.016)</v>
      </c>
      <c r="E25" s="1" t="str">
        <f>"(0.018)"</f>
        <v>(0.018)</v>
      </c>
      <c r="F25" s="1" t="s">
        <v>7</v>
      </c>
    </row>
    <row r="26" spans="1:6" x14ac:dyDescent="0.2">
      <c r="A26" t="str">
        <f>"0.friendship"</f>
        <v>0.friendship</v>
      </c>
      <c r="B26" s="1" t="str">
        <f>""</f>
        <v/>
      </c>
      <c r="C26" s="1" t="str">
        <f>""</f>
        <v/>
      </c>
      <c r="D26" s="1" t="str">
        <f>"0.000"</f>
        <v>0.000</v>
      </c>
      <c r="E26" s="1" t="str">
        <f>"0.000"</f>
        <v>0.000</v>
      </c>
      <c r="F26" s="1" t="s">
        <v>7</v>
      </c>
    </row>
    <row r="27" spans="1:6" x14ac:dyDescent="0.2">
      <c r="A27" t="str">
        <f>""</f>
        <v/>
      </c>
      <c r="B27" s="1" t="str">
        <f>""</f>
        <v/>
      </c>
      <c r="C27" s="1" t="str">
        <f>""</f>
        <v/>
      </c>
      <c r="D27" s="1" t="str">
        <f>"(.)"</f>
        <v>(.)</v>
      </c>
      <c r="E27" s="1" t="str">
        <f>"(.)"</f>
        <v>(.)</v>
      </c>
      <c r="F27" s="1" t="str">
        <f>"(.)"</f>
        <v>(.)</v>
      </c>
    </row>
    <row r="28" spans="1:6" x14ac:dyDescent="0.2">
      <c r="A28" t="str">
        <f>"1.friendship"</f>
        <v>1.friendship</v>
      </c>
      <c r="B28" s="1" t="str">
        <f>""</f>
        <v/>
      </c>
      <c r="C28" s="1" t="str">
        <f>""</f>
        <v/>
      </c>
      <c r="D28" s="1" t="str">
        <f>"0.011"</f>
        <v>0.011</v>
      </c>
      <c r="E28" s="1" t="str">
        <f>"0.008"</f>
        <v>0.008</v>
      </c>
      <c r="F28" s="1" t="str">
        <f>"-0.008"</f>
        <v>-0.008</v>
      </c>
    </row>
    <row r="29" spans="1:6" x14ac:dyDescent="0.2">
      <c r="A29" t="str">
        <f>""</f>
        <v/>
      </c>
      <c r="B29" s="1" t="str">
        <f>""</f>
        <v/>
      </c>
      <c r="C29" s="1" t="str">
        <f>""</f>
        <v/>
      </c>
      <c r="D29" s="1" t="str">
        <f>"(0.013)"</f>
        <v>(0.013)</v>
      </c>
      <c r="E29" s="1" t="str">
        <f>"(0.012)"</f>
        <v>(0.012)</v>
      </c>
      <c r="F29" s="1" t="str">
        <f>"(0.015)"</f>
        <v>(0.015)</v>
      </c>
    </row>
    <row r="30" spans="1:6" x14ac:dyDescent="0.2">
      <c r="A30" t="str">
        <f>"2.friendship"</f>
        <v>2.friendship</v>
      </c>
      <c r="B30" s="1" t="str">
        <f>""</f>
        <v/>
      </c>
      <c r="C30" s="1" t="str">
        <f>""</f>
        <v/>
      </c>
      <c r="D30" s="1" t="str">
        <f>"-0.029+"</f>
        <v>-0.029+</v>
      </c>
      <c r="E30" s="1" t="str">
        <f>"-0.026"</f>
        <v>-0.026</v>
      </c>
      <c r="F30" s="1" t="str">
        <f>"-0.032"</f>
        <v>-0.032</v>
      </c>
    </row>
    <row r="31" spans="1:6" x14ac:dyDescent="0.2">
      <c r="A31" t="str">
        <f>""</f>
        <v/>
      </c>
      <c r="B31" s="1" t="str">
        <f>""</f>
        <v/>
      </c>
      <c r="C31" s="1" t="str">
        <f>""</f>
        <v/>
      </c>
      <c r="D31" s="1" t="str">
        <f>"(0.016)"</f>
        <v>(0.016)</v>
      </c>
      <c r="E31" s="1" t="str">
        <f>"(0.016)"</f>
        <v>(0.016)</v>
      </c>
      <c r="F31" s="1" t="str">
        <f>"(0.025)"</f>
        <v>(0.025)</v>
      </c>
    </row>
    <row r="32" spans="1:6" x14ac:dyDescent="0.2">
      <c r="A32" t="str">
        <f>"N"</f>
        <v>N</v>
      </c>
      <c r="B32" s="1" t="str">
        <f>"1304"</f>
        <v>1304</v>
      </c>
      <c r="C32" s="1" t="str">
        <f>"1304"</f>
        <v>1304</v>
      </c>
      <c r="D32" s="1" t="str">
        <f>"1304"</f>
        <v>1304</v>
      </c>
      <c r="E32" s="1" t="str">
        <f>"1304"</f>
        <v>1304</v>
      </c>
      <c r="F32" s="1" t="str">
        <f>"1304"</f>
        <v>1304</v>
      </c>
    </row>
    <row r="33" spans="1:6" x14ac:dyDescent="0.2">
      <c r="A33" t="str">
        <f>"R-squared"</f>
        <v>R-squared</v>
      </c>
      <c r="B33" s="1" t="str">
        <f>"0.166"</f>
        <v>0.166</v>
      </c>
      <c r="C33" s="1" t="str">
        <f>"0.169"</f>
        <v>0.169</v>
      </c>
      <c r="D33" s="1" t="str">
        <f>"0.124"</f>
        <v>0.124</v>
      </c>
      <c r="E33" s="1" t="str">
        <f>"0.195"</f>
        <v>0.195</v>
      </c>
      <c r="F33" s="1" t="str">
        <f>"0.639"</f>
        <v>0.639</v>
      </c>
    </row>
    <row r="34" spans="1:6" x14ac:dyDescent="0.2">
      <c r="A34" t="s">
        <v>0</v>
      </c>
      <c r="B34" s="1" t="s">
        <v>1</v>
      </c>
      <c r="C34" s="1" t="s">
        <v>1</v>
      </c>
      <c r="D34" s="1" t="s">
        <v>1</v>
      </c>
      <c r="E34" s="1" t="s">
        <v>1</v>
      </c>
      <c r="F34" s="1" t="s">
        <v>2</v>
      </c>
    </row>
    <row r="35" spans="1:6" x14ac:dyDescent="0.2">
      <c r="A35" t="s">
        <v>3</v>
      </c>
      <c r="B35" s="1" t="s">
        <v>2</v>
      </c>
      <c r="C35" s="1" t="s">
        <v>2</v>
      </c>
      <c r="D35" s="1" t="s">
        <v>2</v>
      </c>
      <c r="E35" s="1" t="s">
        <v>2</v>
      </c>
      <c r="F35" s="1" t="s">
        <v>1</v>
      </c>
    </row>
    <row r="36" spans="1:6" x14ac:dyDescent="0.2">
      <c r="A36" s="12" t="str">
        <f>"Standard errors in parentheses, + p&lt;0.1 * p&lt;0.05 ** p&lt;0.01"</f>
        <v>Standard errors in parentheses, + p&lt;0.1 * p&lt;0.05 ** p&lt;0.01</v>
      </c>
      <c r="B36" s="12"/>
      <c r="C36" s="12"/>
      <c r="D36" s="12"/>
      <c r="E36" s="12"/>
      <c r="F36" s="12"/>
    </row>
  </sheetData>
  <mergeCells count="1">
    <mergeCell ref="A36:F36"/>
  </mergeCells>
  <phoneticPr fontId="4"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87B8A-AD04-3343-A5A2-73ECD9A69758}">
  <dimension ref="A1:F36"/>
  <sheetViews>
    <sheetView zoomScale="136" zoomScaleNormal="100" workbookViewId="0">
      <selection activeCell="D33" sqref="D33"/>
    </sheetView>
  </sheetViews>
  <sheetFormatPr baseColWidth="10" defaultColWidth="10.6640625" defaultRowHeight="16" x14ac:dyDescent="0.2"/>
  <cols>
    <col min="1" max="1" width="15.83203125" bestFit="1" customWidth="1"/>
    <col min="2" max="6" width="10.83203125" style="1"/>
  </cols>
  <sheetData>
    <row r="1" spans="1:6" x14ac:dyDescent="0.2">
      <c r="E1" s="1" t="s">
        <v>8</v>
      </c>
    </row>
    <row r="2" spans="1:6" x14ac:dyDescent="0.2">
      <c r="A2" t="str">
        <f>""</f>
        <v/>
      </c>
      <c r="B2" s="1" t="str">
        <f>"(1)"</f>
        <v>(1)</v>
      </c>
      <c r="C2" s="1" t="str">
        <f>"(2)"</f>
        <v>(2)</v>
      </c>
      <c r="D2" s="1" t="str">
        <f>"(3)"</f>
        <v>(3)</v>
      </c>
      <c r="E2" s="1" t="str">
        <f>"(4)"</f>
        <v>(4)</v>
      </c>
      <c r="F2" s="1" t="str">
        <f>"(5)"</f>
        <v>(5)</v>
      </c>
    </row>
    <row r="3" spans="1:6" x14ac:dyDescent="0.2">
      <c r="A3" t="str">
        <f>""</f>
        <v/>
      </c>
      <c r="B3" s="1" t="str">
        <f>"new2_I_ig"</f>
        <v>new2_I_ig</v>
      </c>
      <c r="C3" s="1" t="str">
        <f>"new2_I_ig"</f>
        <v>new2_I_ig</v>
      </c>
      <c r="D3" s="1" t="str">
        <f>"new2_I_ig"</f>
        <v>new2_I_ig</v>
      </c>
      <c r="E3" s="1" t="str">
        <f>"new2_I_ig"</f>
        <v>new2_I_ig</v>
      </c>
      <c r="F3" s="1" t="str">
        <f>"new2_I_ig"</f>
        <v>new2_I_ig</v>
      </c>
    </row>
    <row r="4" spans="1:6" x14ac:dyDescent="0.2">
      <c r="A4" t="str">
        <f>"HighCCEI"</f>
        <v>HighCCEI</v>
      </c>
      <c r="B4" s="1" t="str">
        <f>"-0.443**"</f>
        <v>-0.443**</v>
      </c>
      <c r="C4" s="1" t="str">
        <f>"-0.412**"</f>
        <v>-0.412**</v>
      </c>
      <c r="D4" s="1" t="str">
        <f>""</f>
        <v/>
      </c>
      <c r="E4" s="1" t="str">
        <f>"-0.407**"</f>
        <v>-0.407**</v>
      </c>
      <c r="F4" s="1" t="str">
        <f>"-0.421**"</f>
        <v>-0.421**</v>
      </c>
    </row>
    <row r="5" spans="1:6" x14ac:dyDescent="0.2">
      <c r="A5" t="str">
        <f>""</f>
        <v/>
      </c>
      <c r="B5" s="1" t="str">
        <f>"(0.015)"</f>
        <v>(0.015)</v>
      </c>
      <c r="C5" s="1" t="str">
        <f>"(0.024)"</f>
        <v>(0.024)</v>
      </c>
      <c r="D5" s="1" t="str">
        <f>""</f>
        <v/>
      </c>
      <c r="E5" s="1" t="str">
        <f>"(0.024)"</f>
        <v>(0.024)</v>
      </c>
      <c r="F5" s="1" t="str">
        <f>"(0.022)"</f>
        <v>(0.022)</v>
      </c>
    </row>
    <row r="6" spans="1:6" x14ac:dyDescent="0.2">
      <c r="A6" t="str">
        <f>"post"</f>
        <v>post</v>
      </c>
      <c r="B6" s="1" t="str">
        <f>""</f>
        <v/>
      </c>
      <c r="C6" s="1" t="str">
        <f>"0.031+"</f>
        <v>0.031+</v>
      </c>
      <c r="D6" s="1" t="str">
        <f>""</f>
        <v/>
      </c>
      <c r="E6" s="1" t="str">
        <f>"0.030+"</f>
        <v>0.030+</v>
      </c>
      <c r="F6" s="1" t="str">
        <f>""</f>
        <v/>
      </c>
    </row>
    <row r="7" spans="1:6" x14ac:dyDescent="0.2">
      <c r="A7" t="str">
        <f>""</f>
        <v/>
      </c>
      <c r="B7" s="1" t="str">
        <f>""</f>
        <v/>
      </c>
      <c r="C7" s="1" t="str">
        <f>"(0.018)"</f>
        <v>(0.018)</v>
      </c>
      <c r="D7" s="1" t="str">
        <f>""</f>
        <v/>
      </c>
      <c r="E7" s="1" t="str">
        <f>"(0.018)"</f>
        <v>(0.018)</v>
      </c>
      <c r="F7" s="1" t="str">
        <f>""</f>
        <v/>
      </c>
    </row>
    <row r="8" spans="1:6" x14ac:dyDescent="0.2">
      <c r="A8" t="str">
        <f>"HighCCEI_post"</f>
        <v>HighCCEI_post</v>
      </c>
      <c r="B8" s="1" t="str">
        <f>""</f>
        <v/>
      </c>
      <c r="C8" s="1" t="str">
        <f>"-0.062+"</f>
        <v>-0.062+</v>
      </c>
      <c r="D8" s="1" t="str">
        <f>""</f>
        <v/>
      </c>
      <c r="E8" s="1" t="str">
        <f>"-0.060+"</f>
        <v>-0.060+</v>
      </c>
      <c r="F8" s="1" t="str">
        <f>""</f>
        <v/>
      </c>
    </row>
    <row r="9" spans="1:6" x14ac:dyDescent="0.2">
      <c r="A9" t="str">
        <f>""</f>
        <v/>
      </c>
      <c r="B9" s="1" t="str">
        <f>""</f>
        <v/>
      </c>
      <c r="C9" s="1" t="str">
        <f>"(0.036)"</f>
        <v>(0.036)</v>
      </c>
      <c r="D9" s="1" t="str">
        <f>""</f>
        <v/>
      </c>
      <c r="E9" s="1" t="str">
        <f>"(0.036)"</f>
        <v>(0.036)</v>
      </c>
      <c r="F9" s="1" t="str">
        <f>""</f>
        <v/>
      </c>
    </row>
    <row r="10" spans="1:6" x14ac:dyDescent="0.2">
      <c r="A10" t="str">
        <f>"mathscore_i"</f>
        <v>mathscore_i</v>
      </c>
      <c r="B10" s="1" t="str">
        <f>""</f>
        <v/>
      </c>
      <c r="C10" s="1" t="str">
        <f>""</f>
        <v/>
      </c>
      <c r="D10" s="1" t="str">
        <f>"-0.001"</f>
        <v>-0.001</v>
      </c>
      <c r="E10" s="1" t="str">
        <f>"-0.000"</f>
        <v>-0.000</v>
      </c>
      <c r="F10" s="1" t="str">
        <f>"-0.001"</f>
        <v>-0.001</v>
      </c>
    </row>
    <row r="11" spans="1:6" x14ac:dyDescent="0.2">
      <c r="A11" t="str">
        <f>""</f>
        <v/>
      </c>
      <c r="B11" s="1" t="str">
        <f>""</f>
        <v/>
      </c>
      <c r="C11" s="1" t="str">
        <f>""</f>
        <v/>
      </c>
      <c r="D11" s="1" t="str">
        <f>"(0.001)"</f>
        <v>(0.001)</v>
      </c>
      <c r="E11" s="1" t="str">
        <f>"(0.000)"</f>
        <v>(0.000)</v>
      </c>
      <c r="F11" s="1" t="str">
        <f>"(0.001)"</f>
        <v>(0.001)</v>
      </c>
    </row>
    <row r="12" spans="1:6" x14ac:dyDescent="0.2">
      <c r="A12" t="str">
        <f>"math_diff"</f>
        <v>math_diff</v>
      </c>
      <c r="B12" s="1" t="str">
        <f>""</f>
        <v/>
      </c>
      <c r="C12" s="1" t="str">
        <f>""</f>
        <v/>
      </c>
      <c r="D12" s="1" t="str">
        <f>"-0.020**"</f>
        <v>-0.020**</v>
      </c>
      <c r="E12" s="1" t="str">
        <f>"-0.012*"</f>
        <v>-0.012*</v>
      </c>
      <c r="F12" s="1" t="str">
        <f>"-0.001"</f>
        <v>-0.001</v>
      </c>
    </row>
    <row r="13" spans="1:6" x14ac:dyDescent="0.2">
      <c r="A13" t="str">
        <f>""</f>
        <v/>
      </c>
      <c r="B13" s="1" t="str">
        <f>""</f>
        <v/>
      </c>
      <c r="C13" s="1" t="str">
        <f>""</f>
        <v/>
      </c>
      <c r="D13" s="1" t="str">
        <f>"(0.006)"</f>
        <v>(0.006)</v>
      </c>
      <c r="E13" s="1" t="str">
        <f>"(0.005)"</f>
        <v>(0.005)</v>
      </c>
      <c r="F13" s="1" t="str">
        <f>"(0.007)"</f>
        <v>(0.007)</v>
      </c>
    </row>
    <row r="14" spans="1:6" x14ac:dyDescent="0.2">
      <c r="A14" t="str">
        <f>"1.malepair"</f>
        <v>1.malepair</v>
      </c>
      <c r="B14" s="1" t="str">
        <f>""</f>
        <v/>
      </c>
      <c r="C14" s="1" t="str">
        <f>""</f>
        <v/>
      </c>
      <c r="D14" s="1" t="str">
        <f>"0.000"</f>
        <v>0.000</v>
      </c>
      <c r="E14" s="1" t="str">
        <f>"0.000"</f>
        <v>0.000</v>
      </c>
      <c r="F14" s="1" t="str">
        <f>"0.000"</f>
        <v>0.000</v>
      </c>
    </row>
    <row r="15" spans="1:6" x14ac:dyDescent="0.2">
      <c r="A15" t="str">
        <f>""</f>
        <v/>
      </c>
      <c r="B15" s="1" t="str">
        <f>""</f>
        <v/>
      </c>
      <c r="C15" s="1" t="str">
        <f>""</f>
        <v/>
      </c>
      <c r="D15" s="1" t="str">
        <f>"(.)"</f>
        <v>(.)</v>
      </c>
      <c r="E15" s="1" t="str">
        <f>"(.)"</f>
        <v>(.)</v>
      </c>
      <c r="F15" s="1" t="s">
        <v>7</v>
      </c>
    </row>
    <row r="16" spans="1:6" x14ac:dyDescent="0.2">
      <c r="A16" t="str">
        <f>"2.malepair"</f>
        <v>2.malepair</v>
      </c>
      <c r="B16" s="1" t="str">
        <f>""</f>
        <v/>
      </c>
      <c r="C16" s="1" t="str">
        <f>""</f>
        <v/>
      </c>
      <c r="D16" s="1" t="str">
        <f>"0.054**"</f>
        <v>0.054**</v>
      </c>
      <c r="E16" s="1" t="str">
        <f>"0.018"</f>
        <v>0.018</v>
      </c>
      <c r="F16" s="1" t="s">
        <v>7</v>
      </c>
    </row>
    <row r="17" spans="1:6" x14ac:dyDescent="0.2">
      <c r="A17" t="str">
        <f>""</f>
        <v/>
      </c>
      <c r="B17" s="1" t="str">
        <f>""</f>
        <v/>
      </c>
      <c r="C17" s="1" t="str">
        <f>""</f>
        <v/>
      </c>
      <c r="D17" s="1" t="str">
        <f>"(0.018)"</f>
        <v>(0.018)</v>
      </c>
      <c r="E17" s="1" t="str">
        <f>"(0.016)"</f>
        <v>(0.016)</v>
      </c>
      <c r="F17" s="1" t="s">
        <v>7</v>
      </c>
    </row>
    <row r="18" spans="1:6" x14ac:dyDescent="0.2">
      <c r="A18" t="str">
        <f>"3.malepair"</f>
        <v>3.malepair</v>
      </c>
      <c r="B18" s="1" t="str">
        <f>""</f>
        <v/>
      </c>
      <c r="C18" s="1" t="str">
        <f>""</f>
        <v/>
      </c>
      <c r="D18" s="1" t="str">
        <f>"-0.054**"</f>
        <v>-0.054**</v>
      </c>
      <c r="E18" s="1" t="str">
        <f>"-0.018"</f>
        <v>-0.018</v>
      </c>
      <c r="F18" s="1" t="s">
        <v>7</v>
      </c>
    </row>
    <row r="19" spans="1:6" x14ac:dyDescent="0.2">
      <c r="A19" t="str">
        <f>""</f>
        <v/>
      </c>
      <c r="B19" s="1" t="str">
        <f>""</f>
        <v/>
      </c>
      <c r="C19" s="1" t="str">
        <f>""</f>
        <v/>
      </c>
      <c r="D19" s="1" t="str">
        <f>"(0.017)"</f>
        <v>(0.017)</v>
      </c>
      <c r="E19" s="1" t="str">
        <f>"(0.016)"</f>
        <v>(0.016)</v>
      </c>
      <c r="F19" s="1" t="s">
        <v>7</v>
      </c>
    </row>
    <row r="20" spans="1:6" x14ac:dyDescent="0.2">
      <c r="A20" t="str">
        <f>"4.malepair"</f>
        <v>4.malepair</v>
      </c>
      <c r="B20" s="1" t="str">
        <f>""</f>
        <v/>
      </c>
      <c r="C20" s="1" t="str">
        <f>""</f>
        <v/>
      </c>
      <c r="D20" s="1" t="str">
        <f>"0.000"</f>
        <v>0.000</v>
      </c>
      <c r="E20" s="1" t="str">
        <f>"-0.000"</f>
        <v>-0.000</v>
      </c>
      <c r="F20" s="1" t="s">
        <v>7</v>
      </c>
    </row>
    <row r="21" spans="1:6" x14ac:dyDescent="0.2">
      <c r="A21" t="str">
        <f>""</f>
        <v/>
      </c>
      <c r="B21" s="1" t="str">
        <f>""</f>
        <v/>
      </c>
      <c r="C21" s="1" t="str">
        <f>""</f>
        <v/>
      </c>
      <c r="D21" s="1" t="str">
        <f>"(0.001)"</f>
        <v>(0.001)</v>
      </c>
      <c r="E21" s="1" t="str">
        <f>"(0.000)"</f>
        <v>(0.000)</v>
      </c>
      <c r="F21" s="1" t="s">
        <v>7</v>
      </c>
    </row>
    <row r="22" spans="1:6" x14ac:dyDescent="0.2">
      <c r="A22" t="str">
        <f>"inclass_n_friends"</f>
        <v>inclass_n_friends</v>
      </c>
      <c r="B22" s="1" t="str">
        <f>""</f>
        <v/>
      </c>
      <c r="C22" s="1" t="str">
        <f>""</f>
        <v/>
      </c>
      <c r="D22" s="1" t="str">
        <f>"-0.000"</f>
        <v>-0.000</v>
      </c>
      <c r="E22" s="1" t="str">
        <f>"-0.000"</f>
        <v>-0.000</v>
      </c>
      <c r="F22" s="1" t="str">
        <f>"-0.000"</f>
        <v>-0.000</v>
      </c>
    </row>
    <row r="23" spans="1:6" x14ac:dyDescent="0.2">
      <c r="A23" t="str">
        <f>""</f>
        <v/>
      </c>
      <c r="B23" s="1" t="str">
        <f>""</f>
        <v/>
      </c>
      <c r="C23" s="1" t="str">
        <f>""</f>
        <v/>
      </c>
      <c r="D23" s="1" t="str">
        <f>"(0.000)"</f>
        <v>(0.000)</v>
      </c>
      <c r="E23" s="1" t="str">
        <f>"(0.000)"</f>
        <v>(0.000)</v>
      </c>
      <c r="F23" s="1" t="str">
        <f>"(0.000)"</f>
        <v>(0.000)</v>
      </c>
    </row>
    <row r="24" spans="1:6" x14ac:dyDescent="0.2">
      <c r="A24" t="str">
        <f>"inclass_n_diff"</f>
        <v>inclass_n_diff</v>
      </c>
      <c r="B24" s="1" t="str">
        <f>""</f>
        <v/>
      </c>
      <c r="C24" s="1" t="str">
        <f>""</f>
        <v/>
      </c>
      <c r="D24" s="1" t="str">
        <f>"-0.001"</f>
        <v>-0.001</v>
      </c>
      <c r="E24" s="1" t="str">
        <f>"0.004+"</f>
        <v>0.004+</v>
      </c>
      <c r="F24" s="1" t="str">
        <f>"-0.007"</f>
        <v>-0.007</v>
      </c>
    </row>
    <row r="25" spans="1:6" x14ac:dyDescent="0.2">
      <c r="A25" t="str">
        <f>""</f>
        <v/>
      </c>
      <c r="B25" s="1" t="str">
        <f>""</f>
        <v/>
      </c>
      <c r="C25" s="1" t="str">
        <f>""</f>
        <v/>
      </c>
      <c r="D25" s="1" t="str">
        <f>"(0.003)"</f>
        <v>(0.003)</v>
      </c>
      <c r="E25" s="1" t="str">
        <f>"(0.003)"</f>
        <v>(0.003)</v>
      </c>
      <c r="F25" s="1" t="str">
        <f>"(0.004)"</f>
        <v>(0.004)</v>
      </c>
    </row>
    <row r="26" spans="1:6" x14ac:dyDescent="0.2">
      <c r="A26" t="str">
        <f>"inclass_popularity"</f>
        <v>inclass_popularity</v>
      </c>
      <c r="B26" s="1" t="str">
        <f>""</f>
        <v/>
      </c>
      <c r="C26" s="1" t="str">
        <f>""</f>
        <v/>
      </c>
      <c r="D26" s="1" t="str">
        <f>"-0.000"</f>
        <v>-0.000</v>
      </c>
      <c r="E26" s="1" t="str">
        <f>"-0.000"</f>
        <v>-0.000</v>
      </c>
      <c r="F26" s="1" t="str">
        <f>"-0.000"</f>
        <v>-0.000</v>
      </c>
    </row>
    <row r="27" spans="1:6" x14ac:dyDescent="0.2">
      <c r="A27" t="str">
        <f>""</f>
        <v/>
      </c>
      <c r="B27" s="1" t="str">
        <f>""</f>
        <v/>
      </c>
      <c r="C27" s="1" t="str">
        <f>""</f>
        <v/>
      </c>
      <c r="D27" s="1" t="str">
        <f>"(0.000)"</f>
        <v>(0.000)</v>
      </c>
      <c r="E27" s="1" t="str">
        <f>"(0.000)"</f>
        <v>(0.000)</v>
      </c>
      <c r="F27" s="1" t="str">
        <f>"(0.000)"</f>
        <v>(0.000)</v>
      </c>
    </row>
    <row r="28" spans="1:6" x14ac:dyDescent="0.2">
      <c r="A28" t="str">
        <f>"inclass_pop_diff"</f>
        <v>inclass_pop_diff</v>
      </c>
      <c r="B28" s="1" t="str">
        <f>""</f>
        <v/>
      </c>
      <c r="C28" s="1" t="str">
        <f>""</f>
        <v/>
      </c>
      <c r="D28" s="1" t="str">
        <f>"0.002"</f>
        <v>0.002</v>
      </c>
      <c r="E28" s="1" t="str">
        <f>"-0.001"</f>
        <v>-0.001</v>
      </c>
      <c r="F28" s="1" t="str">
        <f>"0.002"</f>
        <v>0.002</v>
      </c>
    </row>
    <row r="29" spans="1:6" x14ac:dyDescent="0.2">
      <c r="A29" t="str">
        <f>""</f>
        <v/>
      </c>
      <c r="B29" s="1" t="str">
        <f>""</f>
        <v/>
      </c>
      <c r="C29" s="1" t="str">
        <f>""</f>
        <v/>
      </c>
      <c r="D29" s="1" t="str">
        <f>"(0.003)"</f>
        <v>(0.003)</v>
      </c>
      <c r="E29" s="1" t="str">
        <f>"(0.002)"</f>
        <v>(0.002)</v>
      </c>
      <c r="F29" s="1" t="str">
        <f>"(0.005)"</f>
        <v>(0.005)</v>
      </c>
    </row>
    <row r="30" spans="1:6" x14ac:dyDescent="0.2">
      <c r="A30" t="str">
        <f>"_cons"</f>
        <v>_cons</v>
      </c>
      <c r="B30" s="1" t="str">
        <f>"0.722**"</f>
        <v>0.722**</v>
      </c>
      <c r="C30" s="1" t="str">
        <f>"0.706**"</f>
        <v>0.706**</v>
      </c>
      <c r="D30" s="1" t="str">
        <f>"0.468**"</f>
        <v>0.468**</v>
      </c>
      <c r="E30" s="1" t="str">
        <f>"0.678**"</f>
        <v>0.678**</v>
      </c>
      <c r="F30" s="1" t="str">
        <f>"0.713**"</f>
        <v>0.713**</v>
      </c>
    </row>
    <row r="31" spans="1:6" x14ac:dyDescent="0.2">
      <c r="A31" t="str">
        <f>""</f>
        <v/>
      </c>
      <c r="B31" s="1" t="str">
        <f>"(0.008)"</f>
        <v>(0.008)</v>
      </c>
      <c r="C31" s="1" t="str">
        <f>"(0.012)"</f>
        <v>(0.012)</v>
      </c>
      <c r="D31" s="1" t="str">
        <f>"(0.055)"</f>
        <v>(0.055)</v>
      </c>
      <c r="E31" s="1" t="str">
        <f>"(0.028)"</f>
        <v>(0.028)</v>
      </c>
      <c r="F31" s="1" t="str">
        <f>"(0.011)"</f>
        <v>(0.011)</v>
      </c>
    </row>
    <row r="32" spans="1:6" x14ac:dyDescent="0.2">
      <c r="A32" t="str">
        <f>"N"</f>
        <v>N</v>
      </c>
      <c r="B32" s="1" t="str">
        <f>"2406"</f>
        <v>2406</v>
      </c>
      <c r="C32" s="1" t="str">
        <f>"2406"</f>
        <v>2406</v>
      </c>
      <c r="D32" s="1" t="str">
        <f>"2406"</f>
        <v>2406</v>
      </c>
      <c r="E32" s="1" t="str">
        <f>"2406"</f>
        <v>2406</v>
      </c>
      <c r="F32" s="1" t="str">
        <f>"2228"</f>
        <v>2228</v>
      </c>
    </row>
    <row r="33" spans="1:6" x14ac:dyDescent="0.2">
      <c r="A33" t="str">
        <f>"R-squared"</f>
        <v>R-squared</v>
      </c>
      <c r="B33" s="1" t="str">
        <f>"0.379"</f>
        <v>0.379</v>
      </c>
      <c r="C33" s="1" t="str">
        <f>"0.380"</f>
        <v>0.380</v>
      </c>
      <c r="D33" s="1" t="str">
        <f>"0.033"</f>
        <v>0.033</v>
      </c>
      <c r="E33" s="1" t="str">
        <f>"0.392"</f>
        <v>0.392</v>
      </c>
      <c r="F33" s="1" t="str">
        <f>"0.731"</f>
        <v>0.731</v>
      </c>
    </row>
    <row r="34" spans="1:6" x14ac:dyDescent="0.2">
      <c r="A34" t="s">
        <v>0</v>
      </c>
      <c r="B34" s="1" t="s">
        <v>1</v>
      </c>
      <c r="C34" s="1" t="s">
        <v>1</v>
      </c>
      <c r="D34" s="1" t="s">
        <v>1</v>
      </c>
      <c r="E34" s="1" t="s">
        <v>1</v>
      </c>
      <c r="F34" s="1" t="s">
        <v>2</v>
      </c>
    </row>
    <row r="35" spans="1:6" x14ac:dyDescent="0.2">
      <c r="A35" t="s">
        <v>47</v>
      </c>
      <c r="B35" s="1" t="s">
        <v>2</v>
      </c>
      <c r="C35" s="1" t="s">
        <v>2</v>
      </c>
      <c r="D35" s="1" t="s">
        <v>2</v>
      </c>
      <c r="E35" s="1" t="s">
        <v>2</v>
      </c>
      <c r="F35" s="1" t="s">
        <v>1</v>
      </c>
    </row>
    <row r="36" spans="1:6" x14ac:dyDescent="0.2">
      <c r="A36" s="12" t="str">
        <f>"Standard errors in parentheses, + p&lt;0.1 * p&lt;0.05 ** p&lt;0.01"</f>
        <v>Standard errors in parentheses, + p&lt;0.1 * p&lt;0.05 ** p&lt;0.01</v>
      </c>
      <c r="B36" s="12"/>
      <c r="C36" s="12"/>
      <c r="D36" s="12"/>
      <c r="E36" s="12"/>
      <c r="F36" s="12"/>
    </row>
  </sheetData>
  <mergeCells count="1">
    <mergeCell ref="A36:F36"/>
  </mergeCells>
  <phoneticPr fontId="4" type="noConversion"/>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CD59A-F78F-4066-BC15-404C57359E19}">
  <dimension ref="A1:F35"/>
  <sheetViews>
    <sheetView zoomScale="132" zoomScaleNormal="85" workbookViewId="0">
      <selection activeCell="A34" sqref="A34"/>
    </sheetView>
  </sheetViews>
  <sheetFormatPr baseColWidth="10" defaultColWidth="10.6640625" defaultRowHeight="16" x14ac:dyDescent="0.2"/>
  <cols>
    <col min="1" max="1" width="15.83203125" bestFit="1" customWidth="1"/>
    <col min="2" max="6" width="10.6640625" style="1"/>
  </cols>
  <sheetData>
    <row r="1" spans="1:6" x14ac:dyDescent="0.2">
      <c r="A1" t="str">
        <f>""</f>
        <v/>
      </c>
      <c r="B1" s="1" t="str">
        <f>"(1)"</f>
        <v>(1)</v>
      </c>
      <c r="C1" s="1" t="str">
        <f>"(2)"</f>
        <v>(2)</v>
      </c>
      <c r="D1" s="1" t="str">
        <f>"(3)"</f>
        <v>(3)</v>
      </c>
      <c r="E1" s="1" t="str">
        <f>"(4)"</f>
        <v>(4)</v>
      </c>
      <c r="F1" s="1" t="str">
        <f>"(5)"</f>
        <v>(5)</v>
      </c>
    </row>
    <row r="2" spans="1:6" x14ac:dyDescent="0.2">
      <c r="A2" t="str">
        <f>""</f>
        <v/>
      </c>
      <c r="B2" s="1" t="str">
        <f>"new2_I_ig"</f>
        <v>new2_I_ig</v>
      </c>
      <c r="C2" s="1" t="str">
        <f>"new2_I_ig"</f>
        <v>new2_I_ig</v>
      </c>
      <c r="D2" s="1" t="str">
        <f>"new2_I_ig"</f>
        <v>new2_I_ig</v>
      </c>
      <c r="E2" s="1" t="str">
        <f>"new2_I_ig"</f>
        <v>new2_I_ig</v>
      </c>
      <c r="F2" s="1" t="str">
        <f>"new2_I_ig"</f>
        <v>new2_I_ig</v>
      </c>
    </row>
    <row r="3" spans="1:6" x14ac:dyDescent="0.2">
      <c r="A3" t="str">
        <f>"HighCCEI"</f>
        <v>HighCCEI</v>
      </c>
      <c r="B3" s="11" t="str">
        <f>"-0.447**"</f>
        <v>-0.447**</v>
      </c>
      <c r="C3" s="11" t="str">
        <f>"-0.411**"</f>
        <v>-0.411**</v>
      </c>
      <c r="D3" s="11" t="str">
        <f>""</f>
        <v/>
      </c>
      <c r="E3" s="11" t="str">
        <f>"-0.405**"</f>
        <v>-0.405**</v>
      </c>
      <c r="F3" s="11" t="str">
        <f>"-0.421**"</f>
        <v>-0.421**</v>
      </c>
    </row>
    <row r="4" spans="1:6" x14ac:dyDescent="0.2">
      <c r="A4" t="str">
        <f>""</f>
        <v/>
      </c>
      <c r="B4" s="11" t="str">
        <f>"(0.016)"</f>
        <v>(0.016)</v>
      </c>
      <c r="C4" s="11" t="str">
        <f>"(0.024)"</f>
        <v>(0.024)</v>
      </c>
      <c r="D4" s="11" t="str">
        <f>""</f>
        <v/>
      </c>
      <c r="E4" s="11" t="str">
        <f>"(0.024)"</f>
        <v>(0.024)</v>
      </c>
      <c r="F4" s="11" t="str">
        <f>"(0.022)"</f>
        <v>(0.022)</v>
      </c>
    </row>
    <row r="5" spans="1:6" x14ac:dyDescent="0.2">
      <c r="A5" t="str">
        <f>"post"</f>
        <v>post</v>
      </c>
      <c r="B5" s="11" t="str">
        <f>""</f>
        <v/>
      </c>
      <c r="C5" s="11" t="str">
        <f>"0.036+"</f>
        <v>0.036+</v>
      </c>
      <c r="D5" s="11" t="str">
        <f>""</f>
        <v/>
      </c>
      <c r="E5" s="11" t="str">
        <f>"0.034+"</f>
        <v>0.034+</v>
      </c>
      <c r="F5" s="11" t="str">
        <f>""</f>
        <v/>
      </c>
    </row>
    <row r="6" spans="1:6" x14ac:dyDescent="0.2">
      <c r="A6" t="str">
        <f>""</f>
        <v/>
      </c>
      <c r="B6" s="11" t="str">
        <f>""</f>
        <v/>
      </c>
      <c r="C6" s="11" t="str">
        <f>"(0.018)"</f>
        <v>(0.018)</v>
      </c>
      <c r="D6" s="11" t="str">
        <f>""</f>
        <v/>
      </c>
      <c r="E6" s="11" t="str">
        <f>"(0.018)"</f>
        <v>(0.018)</v>
      </c>
      <c r="F6" s="11" t="str">
        <f>""</f>
        <v/>
      </c>
    </row>
    <row r="7" spans="1:6" x14ac:dyDescent="0.2">
      <c r="A7" t="str">
        <f>"HighCCEI_post"</f>
        <v>HighCCEI_post</v>
      </c>
      <c r="B7" s="11" t="str">
        <f>""</f>
        <v/>
      </c>
      <c r="C7" s="11" t="str">
        <f>"-0.071+"</f>
        <v>-0.071+</v>
      </c>
      <c r="D7" s="11" t="str">
        <f>""</f>
        <v/>
      </c>
      <c r="E7" s="11" t="str">
        <f>"-0.067+"</f>
        <v>-0.067+</v>
      </c>
      <c r="F7" s="11" t="str">
        <f>""</f>
        <v/>
      </c>
    </row>
    <row r="8" spans="1:6" x14ac:dyDescent="0.2">
      <c r="A8" t="str">
        <f>""</f>
        <v/>
      </c>
      <c r="B8" s="11" t="str">
        <f>""</f>
        <v/>
      </c>
      <c r="C8" s="11" t="str">
        <f>"(0.037)"</f>
        <v>(0.037)</v>
      </c>
      <c r="D8" s="11" t="str">
        <f>""</f>
        <v/>
      </c>
      <c r="E8" s="11" t="str">
        <f>"(0.036)"</f>
        <v>(0.036)</v>
      </c>
      <c r="F8" s="11" t="str">
        <f>""</f>
        <v/>
      </c>
    </row>
    <row r="9" spans="1:6" x14ac:dyDescent="0.2">
      <c r="A9" t="str">
        <f>"mathscore_i"</f>
        <v>mathscore_i</v>
      </c>
      <c r="B9" s="11" t="str">
        <f>""</f>
        <v/>
      </c>
      <c r="C9" s="11" t="str">
        <f>""</f>
        <v/>
      </c>
      <c r="D9" s="11" t="str">
        <f>"-0.001"</f>
        <v>-0.001</v>
      </c>
      <c r="E9" s="11" t="str">
        <f>"-0.000"</f>
        <v>-0.000</v>
      </c>
      <c r="F9" s="11" t="str">
        <f>"-0.001"</f>
        <v>-0.001</v>
      </c>
    </row>
    <row r="10" spans="1:6" x14ac:dyDescent="0.2">
      <c r="A10" t="str">
        <f>""</f>
        <v/>
      </c>
      <c r="B10" s="11" t="str">
        <f>""</f>
        <v/>
      </c>
      <c r="C10" s="11" t="str">
        <f>""</f>
        <v/>
      </c>
      <c r="D10" s="11" t="str">
        <f>"(0.001)"</f>
        <v>(0.001)</v>
      </c>
      <c r="E10" s="11" t="str">
        <f>"(0.000)"</f>
        <v>(0.000)</v>
      </c>
      <c r="F10" s="11" t="str">
        <f>"(0.001)"</f>
        <v>(0.001)</v>
      </c>
    </row>
    <row r="11" spans="1:6" x14ac:dyDescent="0.2">
      <c r="A11" t="str">
        <f>"math_diff"</f>
        <v>math_diff</v>
      </c>
      <c r="B11" s="11" t="str">
        <f>""</f>
        <v/>
      </c>
      <c r="C11" s="11" t="str">
        <f>""</f>
        <v/>
      </c>
      <c r="D11" s="11" t="str">
        <f>"-0.021**"</f>
        <v>-0.021**</v>
      </c>
      <c r="E11" s="11" t="str">
        <f>"-0.012*"</f>
        <v>-0.012*</v>
      </c>
      <c r="F11" s="11" t="str">
        <f>"-0.001"</f>
        <v>-0.001</v>
      </c>
    </row>
    <row r="12" spans="1:6" x14ac:dyDescent="0.2">
      <c r="A12" t="str">
        <f>""</f>
        <v/>
      </c>
      <c r="B12" s="11" t="str">
        <f>""</f>
        <v/>
      </c>
      <c r="C12" s="11" t="str">
        <f>""</f>
        <v/>
      </c>
      <c r="D12" s="11" t="str">
        <f>"(0.006)"</f>
        <v>(0.006)</v>
      </c>
      <c r="E12" s="11" t="str">
        <f>"(0.005)"</f>
        <v>(0.005)</v>
      </c>
      <c r="F12" s="11" t="str">
        <f>"(0.007)"</f>
        <v>(0.007)</v>
      </c>
    </row>
    <row r="13" spans="1:6" x14ac:dyDescent="0.2">
      <c r="A13" t="str">
        <f>"1.malepair"</f>
        <v>1.malepair</v>
      </c>
      <c r="B13" s="11" t="str">
        <f>""</f>
        <v/>
      </c>
      <c r="C13" s="11" t="str">
        <f>""</f>
        <v/>
      </c>
      <c r="D13" s="11" t="str">
        <f>"0.000"</f>
        <v>0.000</v>
      </c>
      <c r="E13" s="11" t="str">
        <f>"0.000"</f>
        <v>0.000</v>
      </c>
      <c r="F13" s="11" t="str">
        <f>"0.000"</f>
        <v>0.000</v>
      </c>
    </row>
    <row r="14" spans="1:6" x14ac:dyDescent="0.2">
      <c r="A14" t="str">
        <f>""</f>
        <v/>
      </c>
      <c r="B14" s="11" t="str">
        <f>""</f>
        <v/>
      </c>
      <c r="C14" s="11" t="str">
        <f>""</f>
        <v/>
      </c>
      <c r="D14" s="11" t="str">
        <f>"(.)"</f>
        <v>(.)</v>
      </c>
      <c r="E14" s="11" t="str">
        <f>"(.)"</f>
        <v>(.)</v>
      </c>
      <c r="F14" s="11" t="str">
        <f>"(.)"</f>
        <v>(.)</v>
      </c>
    </row>
    <row r="15" spans="1:6" x14ac:dyDescent="0.2">
      <c r="A15" t="str">
        <f>"2.malepair"</f>
        <v>2.malepair</v>
      </c>
      <c r="B15" s="11" t="str">
        <f>""</f>
        <v/>
      </c>
      <c r="C15" s="11" t="str">
        <f>""</f>
        <v/>
      </c>
      <c r="D15" s="11" t="str">
        <f>"0.056**"</f>
        <v>0.056**</v>
      </c>
      <c r="E15" s="11" t="str">
        <f>"0.019"</f>
        <v>0.019</v>
      </c>
      <c r="F15" s="11" t="str">
        <f>"0.000"</f>
        <v>0.000</v>
      </c>
    </row>
    <row r="16" spans="1:6" x14ac:dyDescent="0.2">
      <c r="A16" t="str">
        <f>""</f>
        <v/>
      </c>
      <c r="B16" s="11" t="str">
        <f>""</f>
        <v/>
      </c>
      <c r="C16" s="11" t="str">
        <f>""</f>
        <v/>
      </c>
      <c r="D16" s="11" t="str">
        <f>"(0.019)"</f>
        <v>(0.019)</v>
      </c>
      <c r="E16" s="11" t="str">
        <f>"(0.017)"</f>
        <v>(0.017)</v>
      </c>
      <c r="F16" s="11" t="str">
        <f>"(.)"</f>
        <v>(.)</v>
      </c>
    </row>
    <row r="17" spans="1:6" x14ac:dyDescent="0.2">
      <c r="A17" t="str">
        <f>"3.malepair"</f>
        <v>3.malepair</v>
      </c>
      <c r="B17" s="11" t="str">
        <f>""</f>
        <v/>
      </c>
      <c r="C17" s="11" t="str">
        <f>""</f>
        <v/>
      </c>
      <c r="D17" s="11" t="str">
        <f>"-0.056**"</f>
        <v>-0.056**</v>
      </c>
      <c r="E17" s="11" t="str">
        <f>"-0.020"</f>
        <v>-0.020</v>
      </c>
      <c r="F17" s="11" t="str">
        <f>"0.000"</f>
        <v>0.000</v>
      </c>
    </row>
    <row r="18" spans="1:6" x14ac:dyDescent="0.2">
      <c r="A18" t="str">
        <f>""</f>
        <v/>
      </c>
      <c r="B18" s="11" t="str">
        <f>""</f>
        <v/>
      </c>
      <c r="C18" s="11" t="str">
        <f>""</f>
        <v/>
      </c>
      <c r="D18" s="11" t="str">
        <f>"(0.019)"</f>
        <v>(0.019)</v>
      </c>
      <c r="E18" s="11" t="str">
        <f>"(0.017)"</f>
        <v>(0.017)</v>
      </c>
      <c r="F18" s="11" t="str">
        <f>"(.)"</f>
        <v>(.)</v>
      </c>
    </row>
    <row r="19" spans="1:6" x14ac:dyDescent="0.2">
      <c r="A19" t="str">
        <f>"4.malepair"</f>
        <v>4.malepair</v>
      </c>
      <c r="B19" s="11" t="str">
        <f>""</f>
        <v/>
      </c>
      <c r="C19" s="11" t="str">
        <f>""</f>
        <v/>
      </c>
      <c r="D19" s="11" t="str">
        <f>"-0.000"</f>
        <v>-0.000</v>
      </c>
      <c r="E19" s="11" t="str">
        <f>"-0.000"</f>
        <v>-0.000</v>
      </c>
      <c r="F19" s="11" t="str">
        <f>"0.000"</f>
        <v>0.000</v>
      </c>
    </row>
    <row r="20" spans="1:6" x14ac:dyDescent="0.2">
      <c r="A20" t="str">
        <f>""</f>
        <v/>
      </c>
      <c r="B20" s="11" t="str">
        <f>""</f>
        <v/>
      </c>
      <c r="C20" s="11" t="str">
        <f>""</f>
        <v/>
      </c>
      <c r="D20" s="11" t="str">
        <f>"(0.001)"</f>
        <v>(0.001)</v>
      </c>
      <c r="E20" s="11" t="str">
        <f>"(0.000)"</f>
        <v>(0.000)</v>
      </c>
      <c r="F20" s="11" t="str">
        <f>"(.)"</f>
        <v>(.)</v>
      </c>
    </row>
    <row r="21" spans="1:6" x14ac:dyDescent="0.2">
      <c r="A21" t="str">
        <f>"inclass_n_friends"</f>
        <v>inclass_n_friends</v>
      </c>
      <c r="B21" s="11" t="str">
        <f>""</f>
        <v/>
      </c>
      <c r="C21" s="11" t="str">
        <f>""</f>
        <v/>
      </c>
      <c r="D21" s="11" t="str">
        <f>"-0.000"</f>
        <v>-0.000</v>
      </c>
      <c r="E21" s="11" t="str">
        <f>"-0.000"</f>
        <v>-0.000</v>
      </c>
      <c r="F21" s="11" t="str">
        <f>"-0.000"</f>
        <v>-0.000</v>
      </c>
    </row>
    <row r="22" spans="1:6" x14ac:dyDescent="0.2">
      <c r="A22" t="str">
        <f>""</f>
        <v/>
      </c>
      <c r="B22" s="11" t="str">
        <f>""</f>
        <v/>
      </c>
      <c r="C22" s="11" t="str">
        <f>""</f>
        <v/>
      </c>
      <c r="D22" s="11" t="str">
        <f>"(0.000)"</f>
        <v>(0.000)</v>
      </c>
      <c r="E22" s="11" t="str">
        <f>"(0.000)"</f>
        <v>(0.000)</v>
      </c>
      <c r="F22" s="11" t="str">
        <f>"(0.000)"</f>
        <v>(0.000)</v>
      </c>
    </row>
    <row r="23" spans="1:6" x14ac:dyDescent="0.2">
      <c r="A23" t="str">
        <f>"inclass_n_diff"</f>
        <v>inclass_n_diff</v>
      </c>
      <c r="B23" s="11" t="str">
        <f>""</f>
        <v/>
      </c>
      <c r="C23" s="11" t="str">
        <f>""</f>
        <v/>
      </c>
      <c r="D23" s="11" t="str">
        <f>"-0.002"</f>
        <v>-0.002</v>
      </c>
      <c r="E23" s="11" t="str">
        <f>"0.004"</f>
        <v>0.004</v>
      </c>
      <c r="F23" s="11" t="str">
        <f>"-0.007"</f>
        <v>-0.007</v>
      </c>
    </row>
    <row r="24" spans="1:6" x14ac:dyDescent="0.2">
      <c r="A24" t="str">
        <f>""</f>
        <v/>
      </c>
      <c r="B24" s="11" t="str">
        <f>""</f>
        <v/>
      </c>
      <c r="C24" s="11" t="str">
        <f>""</f>
        <v/>
      </c>
      <c r="D24" s="11" t="str">
        <f>"(0.004)"</f>
        <v>(0.004)</v>
      </c>
      <c r="E24" s="11" t="str">
        <f>"(0.003)"</f>
        <v>(0.003)</v>
      </c>
      <c r="F24" s="11" t="str">
        <f>"(0.004)"</f>
        <v>(0.004)</v>
      </c>
    </row>
    <row r="25" spans="1:6" x14ac:dyDescent="0.2">
      <c r="A25" t="str">
        <f>"inclass_popularity"</f>
        <v>inclass_popularity</v>
      </c>
      <c r="B25" s="11" t="str">
        <f>""</f>
        <v/>
      </c>
      <c r="C25" s="11" t="str">
        <f>""</f>
        <v/>
      </c>
      <c r="D25" s="11" t="str">
        <f>"-0.000"</f>
        <v>-0.000</v>
      </c>
      <c r="E25" s="11" t="str">
        <f>"0.000"</f>
        <v>0.000</v>
      </c>
      <c r="F25" s="11" t="str">
        <f>"-0.000"</f>
        <v>-0.000</v>
      </c>
    </row>
    <row r="26" spans="1:6" x14ac:dyDescent="0.2">
      <c r="A26" t="str">
        <f>""</f>
        <v/>
      </c>
      <c r="B26" s="11" t="str">
        <f>""</f>
        <v/>
      </c>
      <c r="C26" s="11" t="str">
        <f>""</f>
        <v/>
      </c>
      <c r="D26" s="11" t="str">
        <f>"(0.000)"</f>
        <v>(0.000)</v>
      </c>
      <c r="E26" s="11" t="str">
        <f>"(0.000)"</f>
        <v>(0.000)</v>
      </c>
      <c r="F26" s="11" t="str">
        <f>"(0.000)"</f>
        <v>(0.000)</v>
      </c>
    </row>
    <row r="27" spans="1:6" x14ac:dyDescent="0.2">
      <c r="A27" t="str">
        <f>"inclass_pop_diff"</f>
        <v>inclass_pop_diff</v>
      </c>
      <c r="B27" s="11" t="str">
        <f>""</f>
        <v/>
      </c>
      <c r="C27" s="11" t="str">
        <f>""</f>
        <v/>
      </c>
      <c r="D27" s="11" t="str">
        <f>"0.000"</f>
        <v>0.000</v>
      </c>
      <c r="E27" s="11" t="str">
        <f>"-0.002"</f>
        <v>-0.002</v>
      </c>
      <c r="F27" s="11" t="str">
        <f>"0.002"</f>
        <v>0.002</v>
      </c>
    </row>
    <row r="28" spans="1:6" x14ac:dyDescent="0.2">
      <c r="A28" t="str">
        <f>""</f>
        <v/>
      </c>
      <c r="B28" s="11" t="str">
        <f>""</f>
        <v/>
      </c>
      <c r="C28" s="11" t="str">
        <f>""</f>
        <v/>
      </c>
      <c r="D28" s="11" t="str">
        <f>"(0.003)"</f>
        <v>(0.003)</v>
      </c>
      <c r="E28" s="11" t="str">
        <f>"(0.002)"</f>
        <v>(0.002)</v>
      </c>
      <c r="F28" s="11" t="str">
        <f>"(0.005)"</f>
        <v>(0.005)</v>
      </c>
    </row>
    <row r="29" spans="1:6" x14ac:dyDescent="0.2">
      <c r="A29" t="str">
        <f>"_cons"</f>
        <v>_cons</v>
      </c>
      <c r="B29" s="11" t="str">
        <f>"0.723**"</f>
        <v>0.723**</v>
      </c>
      <c r="C29" s="11" t="str">
        <f>"0.706**"</f>
        <v>0.706**</v>
      </c>
      <c r="D29" s="11" t="str">
        <f>"0.465**"</f>
        <v>0.465**</v>
      </c>
      <c r="E29" s="11" t="str">
        <f>"0.675**"</f>
        <v>0.675**</v>
      </c>
      <c r="F29" s="11" t="str">
        <f>"0.713**"</f>
        <v>0.713**</v>
      </c>
    </row>
    <row r="30" spans="1:6" x14ac:dyDescent="0.2">
      <c r="A30" t="str">
        <f>""</f>
        <v/>
      </c>
      <c r="B30" s="11" t="str">
        <f>"(0.008)"</f>
        <v>(0.008)</v>
      </c>
      <c r="C30" s="11" t="str">
        <f>"(0.012)"</f>
        <v>(0.012)</v>
      </c>
      <c r="D30" s="11" t="str">
        <f>"(0.060)"</f>
        <v>(0.060)</v>
      </c>
      <c r="E30" s="11" t="str">
        <f>"(0.029)"</f>
        <v>(0.029)</v>
      </c>
      <c r="F30" s="11" t="str">
        <f>"(0.011)"</f>
        <v>(0.011)</v>
      </c>
    </row>
    <row r="31" spans="1:6" x14ac:dyDescent="0.2">
      <c r="A31" t="str">
        <f>"N"</f>
        <v>N</v>
      </c>
      <c r="B31" s="11" t="str">
        <f>"2228"</f>
        <v>2228</v>
      </c>
      <c r="C31" s="11" t="str">
        <f>"2228"</f>
        <v>2228</v>
      </c>
      <c r="D31" s="11" t="str">
        <f>"2228"</f>
        <v>2228</v>
      </c>
      <c r="E31" s="11" t="str">
        <f>"2228"</f>
        <v>2228</v>
      </c>
      <c r="F31" s="11" t="str">
        <f>"2228"</f>
        <v>2228</v>
      </c>
    </row>
    <row r="32" spans="1:6" x14ac:dyDescent="0.2">
      <c r="A32" t="str">
        <f>"R-squared"</f>
        <v>R-squared</v>
      </c>
      <c r="B32" s="11" t="str">
        <f>"0.382"</f>
        <v>0.382</v>
      </c>
      <c r="C32" s="11" t="str">
        <f>"0.384"</f>
        <v>0.384</v>
      </c>
      <c r="D32" s="11" t="str">
        <f>"0.039"</f>
        <v>0.039</v>
      </c>
      <c r="E32" s="11" t="str">
        <f>"0.396"</f>
        <v>0.396</v>
      </c>
      <c r="F32" s="11" t="str">
        <f>"0.731"</f>
        <v>0.731</v>
      </c>
    </row>
    <row r="33" spans="1:6" x14ac:dyDescent="0.2">
      <c r="A33" t="s">
        <v>0</v>
      </c>
      <c r="B33" s="1" t="s">
        <v>1</v>
      </c>
      <c r="C33" s="1" t="s">
        <v>1</v>
      </c>
      <c r="D33" s="1" t="s">
        <v>1</v>
      </c>
      <c r="E33" s="1" t="s">
        <v>1</v>
      </c>
      <c r="F33" s="1" t="s">
        <v>2</v>
      </c>
    </row>
    <row r="34" spans="1:6" x14ac:dyDescent="0.2">
      <c r="A34" t="s">
        <v>47</v>
      </c>
      <c r="B34" s="1" t="s">
        <v>2</v>
      </c>
      <c r="C34" s="1" t="s">
        <v>2</v>
      </c>
      <c r="D34" s="1" t="s">
        <v>2</v>
      </c>
      <c r="E34" s="1" t="s">
        <v>2</v>
      </c>
      <c r="F34" s="1" t="s">
        <v>1</v>
      </c>
    </row>
    <row r="35" spans="1:6" x14ac:dyDescent="0.2">
      <c r="A35" s="12" t="str">
        <f>"Standard errors in parentheses, + p&lt;0.1 * p&lt;0.05 ** p&lt;0.01"</f>
        <v>Standard errors in parentheses, + p&lt;0.1 * p&lt;0.05 ** p&lt;0.01</v>
      </c>
      <c r="B35" s="12"/>
      <c r="C35" s="12"/>
      <c r="D35" s="12"/>
      <c r="E35" s="12"/>
      <c r="F35" s="12"/>
    </row>
  </sheetData>
  <mergeCells count="1">
    <mergeCell ref="A35:F35"/>
  </mergeCells>
  <phoneticPr fontId="4"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7CE6-27CD-EF48-B7C4-1AFADB3B2921}">
  <dimension ref="A1:F33"/>
  <sheetViews>
    <sheetView zoomScale="150" zoomScaleNormal="140" workbookViewId="0">
      <selection activeCell="I26" sqref="I26"/>
    </sheetView>
  </sheetViews>
  <sheetFormatPr baseColWidth="10" defaultColWidth="10.6640625" defaultRowHeight="16" x14ac:dyDescent="0.2"/>
  <cols>
    <col min="1" max="1" width="22" bestFit="1" customWidth="1"/>
    <col min="2" max="6" width="10.83203125" style="1"/>
  </cols>
  <sheetData>
    <row r="1" spans="1:6" x14ac:dyDescent="0.2">
      <c r="A1" t="str">
        <f>""</f>
        <v/>
      </c>
      <c r="B1" s="1" t="str">
        <f>"(1)"</f>
        <v>(1)</v>
      </c>
      <c r="C1" s="1" t="str">
        <f>"(2)"</f>
        <v>(2)</v>
      </c>
      <c r="D1" s="1" t="str">
        <f>"(3)"</f>
        <v>(3)</v>
      </c>
      <c r="E1" s="1" t="str">
        <f>"(4)"</f>
        <v>(4)</v>
      </c>
      <c r="F1" s="1" t="str">
        <f>"(5)"</f>
        <v>(5)</v>
      </c>
    </row>
    <row r="2" spans="1:6" x14ac:dyDescent="0.2">
      <c r="A2" t="str">
        <f>""</f>
        <v/>
      </c>
      <c r="B2" s="1" t="str">
        <f>"RA_g"</f>
        <v>RA_g</v>
      </c>
      <c r="C2" s="1" t="str">
        <f>"RA_g"</f>
        <v>RA_g</v>
      </c>
      <c r="D2" s="1" t="str">
        <f>"RA_g"</f>
        <v>RA_g</v>
      </c>
      <c r="E2" s="1" t="str">
        <f>"RA_g"</f>
        <v>RA_g</v>
      </c>
      <c r="F2" s="1" t="str">
        <f>"RA_g"</f>
        <v>RA_g</v>
      </c>
    </row>
    <row r="3" spans="1:6" x14ac:dyDescent="0.2">
      <c r="A3" t="str">
        <f>"RA_highCCEI"</f>
        <v>RA_highCCEI</v>
      </c>
      <c r="B3" s="1" t="str">
        <f>"0.472**"</f>
        <v>0.472**</v>
      </c>
      <c r="C3" s="1" t="str">
        <f>"0.421**"</f>
        <v>0.421**</v>
      </c>
      <c r="D3" s="1" t="str">
        <f>""</f>
        <v/>
      </c>
      <c r="E3" s="1" t="str">
        <f>"0.323**"</f>
        <v>0.323**</v>
      </c>
      <c r="F3" s="1" t="str">
        <f>"0.307**"</f>
        <v>0.307**</v>
      </c>
    </row>
    <row r="4" spans="1:6" x14ac:dyDescent="0.2">
      <c r="A4" t="str">
        <f>""</f>
        <v/>
      </c>
      <c r="B4" s="1" t="str">
        <f>"(0.028)"</f>
        <v>(0.028)</v>
      </c>
      <c r="C4" s="1" t="str">
        <f>"(0.037)"</f>
        <v>(0.037)</v>
      </c>
      <c r="D4" s="1" t="str">
        <f>""</f>
        <v/>
      </c>
      <c r="E4" s="1" t="str">
        <f>"(0.076)"</f>
        <v>(0.076)</v>
      </c>
      <c r="F4" s="1" t="str">
        <f>"(0.092)"</f>
        <v>(0.092)</v>
      </c>
    </row>
    <row r="5" spans="1:6" x14ac:dyDescent="0.2">
      <c r="A5" t="str">
        <f>"RA_lowCCEI"</f>
        <v>RA_lowCCEI</v>
      </c>
      <c r="B5" s="1" t="str">
        <f>"0.355**"</f>
        <v>0.355**</v>
      </c>
      <c r="C5" s="1" t="str">
        <f>"0.352**"</f>
        <v>0.352**</v>
      </c>
      <c r="D5" s="1" t="str">
        <f>""</f>
        <v/>
      </c>
      <c r="E5" s="1" t="str">
        <f>"0.280**"</f>
        <v>0.280**</v>
      </c>
      <c r="F5" s="1" t="str">
        <f>"0.243**"</f>
        <v>0.243**</v>
      </c>
    </row>
    <row r="6" spans="1:6" x14ac:dyDescent="0.2">
      <c r="A6" t="str">
        <f>""</f>
        <v/>
      </c>
      <c r="B6" s="1" t="str">
        <f>"(0.036)"</f>
        <v>(0.036)</v>
      </c>
      <c r="C6" s="1" t="str">
        <f>"(0.036)"</f>
        <v>(0.036)</v>
      </c>
      <c r="D6" s="1" t="str">
        <f>""</f>
        <v/>
      </c>
      <c r="E6" s="1" t="str">
        <f>"(0.061)"</f>
        <v>(0.061)</v>
      </c>
      <c r="F6" s="1" t="str">
        <f>"(0.085)"</f>
        <v>(0.085)</v>
      </c>
    </row>
    <row r="7" spans="1:6" x14ac:dyDescent="0.2">
      <c r="A7" t="str">
        <f>"endline"</f>
        <v>endline</v>
      </c>
      <c r="B7" s="1" t="str">
        <f>""</f>
        <v/>
      </c>
      <c r="C7" s="1" t="str">
        <f>"-0.037**"</f>
        <v>-0.037**</v>
      </c>
      <c r="D7" s="1" t="str">
        <f>""</f>
        <v/>
      </c>
      <c r="E7" s="1" t="str">
        <f>"-0.039**"</f>
        <v>-0.039**</v>
      </c>
      <c r="F7" s="1" t="str">
        <f>""</f>
        <v/>
      </c>
    </row>
    <row r="8" spans="1:6" x14ac:dyDescent="0.2">
      <c r="A8" t="str">
        <f>""</f>
        <v/>
      </c>
      <c r="B8" s="1" t="str">
        <f>""</f>
        <v/>
      </c>
      <c r="C8" s="1" t="str">
        <f>"(0.013)"</f>
        <v>(0.013)</v>
      </c>
      <c r="D8" s="1" t="str">
        <f>""</f>
        <v/>
      </c>
      <c r="E8" s="1" t="str">
        <f>"(0.014)"</f>
        <v>(0.014)</v>
      </c>
      <c r="F8" s="1" t="str">
        <f>""</f>
        <v/>
      </c>
    </row>
    <row r="9" spans="1:6" x14ac:dyDescent="0.2">
      <c r="A9" t="str">
        <f>"1.endline#c.RA_highCCEI"</f>
        <v>1.endline#c.RA_highCCEI</v>
      </c>
      <c r="B9" s="1" t="str">
        <f>""</f>
        <v/>
      </c>
      <c r="C9" s="1" t="str">
        <f>"0.084+"</f>
        <v>0.084+</v>
      </c>
      <c r="D9" s="1" t="str">
        <f>""</f>
        <v/>
      </c>
      <c r="E9" s="1" t="str">
        <f>"0.091*"</f>
        <v>0.091*</v>
      </c>
      <c r="F9" s="1" t="str">
        <f>""</f>
        <v/>
      </c>
    </row>
    <row r="10" spans="1:6" x14ac:dyDescent="0.2">
      <c r="A10" t="str">
        <f>""</f>
        <v/>
      </c>
      <c r="B10" s="1" t="str">
        <f>""</f>
        <v/>
      </c>
      <c r="C10" s="1" t="str">
        <f>"(0.043)"</f>
        <v>(0.043)</v>
      </c>
      <c r="D10" s="1" t="str">
        <f>""</f>
        <v/>
      </c>
      <c r="E10" s="1" t="str">
        <f>"(0.044)"</f>
        <v>(0.044)</v>
      </c>
      <c r="F10" s="1" t="str">
        <f>""</f>
        <v/>
      </c>
    </row>
    <row r="11" spans="1:6" x14ac:dyDescent="0.2">
      <c r="A11" t="str">
        <f>"RA_highMATH"</f>
        <v>RA_highMATH</v>
      </c>
      <c r="B11" s="1" t="str">
        <f>""</f>
        <v/>
      </c>
      <c r="C11" s="1" t="str">
        <f>""</f>
        <v/>
      </c>
      <c r="D11" s="1" t="str">
        <f>"0.388**"</f>
        <v>0.388**</v>
      </c>
      <c r="E11" s="1" t="str">
        <f>"0.073+"</f>
        <v>0.073+</v>
      </c>
      <c r="F11" s="1" t="str">
        <f>"0.026"</f>
        <v>0.026</v>
      </c>
    </row>
    <row r="12" spans="1:6" x14ac:dyDescent="0.2">
      <c r="A12" t="str">
        <f>""</f>
        <v/>
      </c>
      <c r="B12" s="1" t="str">
        <f>""</f>
        <v/>
      </c>
      <c r="C12" s="1" t="str">
        <f>""</f>
        <v/>
      </c>
      <c r="D12" s="1" t="str">
        <f>"(0.059)"</f>
        <v>(0.059)</v>
      </c>
      <c r="E12" s="1" t="str">
        <f>"(0.043)"</f>
        <v>(0.043)</v>
      </c>
      <c r="F12" s="1" t="str">
        <f>"(0.047)"</f>
        <v>(0.047)</v>
      </c>
    </row>
    <row r="13" spans="1:6" x14ac:dyDescent="0.2">
      <c r="A13" t="str">
        <f>"RA_lowMATH"</f>
        <v>RA_lowMATH</v>
      </c>
      <c r="B13" s="1" t="str">
        <f>""</f>
        <v/>
      </c>
      <c r="C13" s="1" t="str">
        <f>""</f>
        <v/>
      </c>
      <c r="D13" s="1" t="str">
        <f>"0.316**"</f>
        <v>0.316**</v>
      </c>
      <c r="E13" s="1" t="str">
        <f>"0.000"</f>
        <v>0.000</v>
      </c>
      <c r="F13" s="1" t="str">
        <f>"0.000"</f>
        <v>0.000</v>
      </c>
    </row>
    <row r="14" spans="1:6" x14ac:dyDescent="0.2">
      <c r="A14" t="str">
        <f>""</f>
        <v/>
      </c>
      <c r="B14" s="1" t="str">
        <f>""</f>
        <v/>
      </c>
      <c r="C14" s="1" t="str">
        <f>""</f>
        <v/>
      </c>
      <c r="D14" s="1" t="str">
        <f>"(0.062)"</f>
        <v>(0.062)</v>
      </c>
      <c r="E14" s="1" t="str">
        <f>"(.)"</f>
        <v>(.)</v>
      </c>
      <c r="F14" s="1" t="str">
        <f>"(.)"</f>
        <v>(.)</v>
      </c>
    </row>
    <row r="15" spans="1:6" x14ac:dyDescent="0.2">
      <c r="A15" t="str">
        <f>"RA_highHEIGHT"</f>
        <v>RA_highHEIGHT</v>
      </c>
      <c r="B15" s="1" t="str">
        <f>""</f>
        <v/>
      </c>
      <c r="C15" s="1" t="str">
        <f>""</f>
        <v/>
      </c>
      <c r="D15" s="1" t="str">
        <f>"-0.015"</f>
        <v>-0.015</v>
      </c>
      <c r="E15" s="1" t="str">
        <f>"-0.023"</f>
        <v>-0.023</v>
      </c>
      <c r="F15" s="1" t="str">
        <f>"-0.101"</f>
        <v>-0.101</v>
      </c>
    </row>
    <row r="16" spans="1:6" x14ac:dyDescent="0.2">
      <c r="A16" t="str">
        <f>""</f>
        <v/>
      </c>
      <c r="B16" s="1" t="str">
        <f>""</f>
        <v/>
      </c>
      <c r="C16" s="1" t="str">
        <f>""</f>
        <v/>
      </c>
      <c r="D16" s="1" t="str">
        <f>"(0.046)"</f>
        <v>(0.046)</v>
      </c>
      <c r="E16" s="1" t="str">
        <f>"(0.044)"</f>
        <v>(0.044)</v>
      </c>
      <c r="F16" s="1" t="str">
        <f>"(0.062)"</f>
        <v>(0.062)</v>
      </c>
    </row>
    <row r="17" spans="1:6" x14ac:dyDescent="0.2">
      <c r="A17" t="str">
        <f>"RA_highMALE"</f>
        <v>RA_highMALE</v>
      </c>
      <c r="B17" s="1" t="str">
        <f>""</f>
        <v/>
      </c>
      <c r="C17" s="1" t="str">
        <f>""</f>
        <v/>
      </c>
      <c r="D17" s="1" t="str">
        <f>"0.035"</f>
        <v>0.035</v>
      </c>
      <c r="E17" s="1" t="str">
        <f>"0.018"</f>
        <v>0.018</v>
      </c>
      <c r="F17" s="1" t="str">
        <f>"0.070"</f>
        <v>0.070</v>
      </c>
    </row>
    <row r="18" spans="1:6" x14ac:dyDescent="0.2">
      <c r="A18" t="str">
        <f>""</f>
        <v/>
      </c>
      <c r="B18" s="1" t="str">
        <f>""</f>
        <v/>
      </c>
      <c r="C18" s="1" t="str">
        <f>""</f>
        <v/>
      </c>
      <c r="D18" s="1" t="str">
        <f>"(0.050)"</f>
        <v>(0.050)</v>
      </c>
      <c r="E18" s="1" t="str">
        <f>"(0.050)"</f>
        <v>(0.050)</v>
      </c>
      <c r="F18" s="1" t="str">
        <f>"(0.073)"</f>
        <v>(0.073)</v>
      </c>
    </row>
    <row r="19" spans="1:6" x14ac:dyDescent="0.2">
      <c r="A19" t="str">
        <f>"RA_highFRIENDS"</f>
        <v>RA_highFRIENDS</v>
      </c>
      <c r="B19" s="1" t="str">
        <f>""</f>
        <v/>
      </c>
      <c r="C19" s="1" t="str">
        <f>""</f>
        <v/>
      </c>
      <c r="D19" s="1" t="str">
        <f>"0.069"</f>
        <v>0.069</v>
      </c>
      <c r="E19" s="1" t="str">
        <f>"0.066"</f>
        <v>0.066</v>
      </c>
      <c r="F19" s="1" t="str">
        <f>"0.046"</f>
        <v>0.046</v>
      </c>
    </row>
    <row r="20" spans="1:6" x14ac:dyDescent="0.2">
      <c r="A20" t="str">
        <f>""</f>
        <v/>
      </c>
      <c r="B20" s="1" t="str">
        <f>""</f>
        <v/>
      </c>
      <c r="C20" s="1" t="str">
        <f>""</f>
        <v/>
      </c>
      <c r="D20" s="1" t="str">
        <f>"(0.054)"</f>
        <v>(0.054)</v>
      </c>
      <c r="E20" s="1" t="str">
        <f>"(0.054)"</f>
        <v>(0.054)</v>
      </c>
      <c r="F20" s="1" t="str">
        <f>"(0.051)"</f>
        <v>(0.051)</v>
      </c>
    </row>
    <row r="21" spans="1:6" x14ac:dyDescent="0.2">
      <c r="A21" t="str">
        <f>"RA_highPOP"</f>
        <v>RA_highPOP</v>
      </c>
      <c r="B21" s="1" t="str">
        <f>""</f>
        <v/>
      </c>
      <c r="C21" s="1" t="str">
        <f>""</f>
        <v/>
      </c>
      <c r="D21" s="1" t="str">
        <f>"-0.023"</f>
        <v>-0.023</v>
      </c>
      <c r="E21" s="1" t="str">
        <f>"-0.027"</f>
        <v>-0.027</v>
      </c>
      <c r="F21" s="1" t="str">
        <f>"-0.029"</f>
        <v>-0.029</v>
      </c>
    </row>
    <row r="22" spans="1:6" ht="17" customHeight="1" x14ac:dyDescent="0.2">
      <c r="A22" t="str">
        <f>""</f>
        <v/>
      </c>
      <c r="B22" s="1" t="str">
        <f>""</f>
        <v/>
      </c>
      <c r="C22" s="1" t="str">
        <f>""</f>
        <v/>
      </c>
      <c r="D22" s="1" t="str">
        <f>"(0.050)"</f>
        <v>(0.050)</v>
      </c>
      <c r="E22" s="1" t="str">
        <f>"(0.051)"</f>
        <v>(0.051)</v>
      </c>
      <c r="F22" s="1" t="str">
        <f>"(0.060)"</f>
        <v>(0.060)</v>
      </c>
    </row>
    <row r="23" spans="1:6" x14ac:dyDescent="0.2">
      <c r="A23" t="str">
        <f>"_cons"</f>
        <v>_cons</v>
      </c>
      <c r="B23" s="1" t="str">
        <f>"0.026+"</f>
        <v>0.026+</v>
      </c>
      <c r="C23" s="1" t="str">
        <f>"0.049**"</f>
        <v>0.049**</v>
      </c>
      <c r="D23" s="1" t="str">
        <f>"0.025+"</f>
        <v>0.025+</v>
      </c>
      <c r="E23" s="1" t="str">
        <f>"0.053**"</f>
        <v>0.053**</v>
      </c>
      <c r="F23" s="1" t="str">
        <f>"0.102**"</f>
        <v>0.102**</v>
      </c>
    </row>
    <row r="24" spans="1:6" x14ac:dyDescent="0.2">
      <c r="A24" t="str">
        <f>""</f>
        <v/>
      </c>
      <c r="B24" s="1" t="str">
        <f>"(0.014)"</f>
        <v>(0.014)</v>
      </c>
      <c r="C24" s="1" t="str">
        <f>"(0.017)"</f>
        <v>(0.017)</v>
      </c>
      <c r="D24" s="1" t="str">
        <f>"(0.013)"</f>
        <v>(0.013)</v>
      </c>
      <c r="E24" s="1" t="str">
        <f>"(0.017)"</f>
        <v>(0.017)</v>
      </c>
      <c r="F24" s="1" t="str">
        <f>"(0.022)"</f>
        <v>(0.022)</v>
      </c>
    </row>
    <row r="25" spans="1:6" x14ac:dyDescent="0.2">
      <c r="A25" t="str">
        <f>"N"</f>
        <v>N</v>
      </c>
      <c r="B25" s="1" t="str">
        <f>"1304"</f>
        <v>1304</v>
      </c>
      <c r="C25" s="1" t="str">
        <f>"1304"</f>
        <v>1304</v>
      </c>
      <c r="D25" s="1" t="str">
        <f>"1304"</f>
        <v>1304</v>
      </c>
      <c r="E25" s="1" t="str">
        <f>"1304"</f>
        <v>1304</v>
      </c>
      <c r="F25" s="1" t="str">
        <f>"1304"</f>
        <v>1304</v>
      </c>
    </row>
    <row r="26" spans="1:6" x14ac:dyDescent="0.2">
      <c r="A26" t="str">
        <f>"R-squared"</f>
        <v>R-squared</v>
      </c>
      <c r="B26" s="1" t="str">
        <f>"0.409"</f>
        <v>0.409</v>
      </c>
      <c r="C26" s="1" t="str">
        <f>"0.412"</f>
        <v>0.412</v>
      </c>
      <c r="D26" s="1" t="str">
        <f>"0.424"</f>
        <v>0.424</v>
      </c>
      <c r="E26" s="1" t="str">
        <f>"0.431"</f>
        <v>0.431</v>
      </c>
      <c r="F26" s="1" t="str">
        <f>"0.754"</f>
        <v>0.754</v>
      </c>
    </row>
    <row r="27" spans="1:6" x14ac:dyDescent="0.2">
      <c r="A27" t="str">
        <f>"p-value"</f>
        <v>p-value</v>
      </c>
      <c r="B27" s="1" t="str">
        <f>"0.016"</f>
        <v>0.016</v>
      </c>
      <c r="C27" s="1" t="str">
        <f>""</f>
        <v/>
      </c>
      <c r="D27" s="1" t="str">
        <f>""</f>
        <v/>
      </c>
      <c r="E27" s="1" t="str">
        <f>""</f>
        <v/>
      </c>
      <c r="F27" s="1" t="str">
        <f>"0.282"</f>
        <v>0.282</v>
      </c>
    </row>
    <row r="28" spans="1:6" x14ac:dyDescent="0.2">
      <c r="A28" t="str">
        <f>"p_val0"</f>
        <v>p_val0</v>
      </c>
      <c r="B28" s="1" t="str">
        <f>""</f>
        <v/>
      </c>
      <c r="C28" s="1" t="str">
        <f>"0.181"</f>
        <v>0.181</v>
      </c>
      <c r="D28" s="1" t="str">
        <f>""</f>
        <v/>
      </c>
      <c r="E28" s="1" t="str">
        <f>"0.401"</f>
        <v>0.401</v>
      </c>
      <c r="F28" s="1" t="str">
        <f>""</f>
        <v/>
      </c>
    </row>
    <row r="29" spans="1:6" x14ac:dyDescent="0.2">
      <c r="A29" t="str">
        <f>"p_val1"</f>
        <v>p_val1</v>
      </c>
      <c r="B29" s="1" t="str">
        <f>""</f>
        <v/>
      </c>
      <c r="C29" s="1" t="str">
        <f>"0.002"</f>
        <v>0.002</v>
      </c>
      <c r="D29" s="1" t="str">
        <f>""</f>
        <v/>
      </c>
      <c r="E29" s="1" t="str">
        <f>"0.004"</f>
        <v>0.004</v>
      </c>
      <c r="F29" s="1" t="str">
        <f>""</f>
        <v/>
      </c>
    </row>
    <row r="30" spans="1:6" x14ac:dyDescent="0.2">
      <c r="A30" t="str">
        <f>"p_val_math"</f>
        <v>p_val_math</v>
      </c>
      <c r="B30" s="1" t="str">
        <f>""</f>
        <v/>
      </c>
      <c r="C30" s="1" t="str">
        <f>""</f>
        <v/>
      </c>
      <c r="D30" s="1" t="str">
        <f>"0.097"</f>
        <v>0.097</v>
      </c>
      <c r="E30" s="1" t="str">
        <f>""</f>
        <v/>
      </c>
      <c r="F30" s="1" t="str">
        <f>""</f>
        <v/>
      </c>
    </row>
    <row r="31" spans="1:6" x14ac:dyDescent="0.2">
      <c r="A31" t="s">
        <v>0</v>
      </c>
      <c r="B31" s="1" t="s">
        <v>1</v>
      </c>
      <c r="C31" s="1" t="s">
        <v>1</v>
      </c>
      <c r="D31" s="1" t="s">
        <v>1</v>
      </c>
      <c r="E31" s="1" t="s">
        <v>1</v>
      </c>
      <c r="F31" s="1" t="s">
        <v>2</v>
      </c>
    </row>
    <row r="32" spans="1:6" x14ac:dyDescent="0.2">
      <c r="A32" t="s">
        <v>3</v>
      </c>
      <c r="B32" s="1" t="s">
        <v>2</v>
      </c>
      <c r="C32" s="1" t="s">
        <v>2</v>
      </c>
      <c r="D32" s="1" t="s">
        <v>2</v>
      </c>
      <c r="E32" s="1" t="s">
        <v>2</v>
      </c>
      <c r="F32" s="1" t="s">
        <v>1</v>
      </c>
    </row>
    <row r="33" spans="1:6" x14ac:dyDescent="0.2">
      <c r="A33" s="12" t="str">
        <f>"Standard errors in parentheses, + p&lt;0.1 * p&lt;0.05 ** p&lt;0.01"</f>
        <v>Standard errors in parentheses, + p&lt;0.1 * p&lt;0.05 ** p&lt;0.01</v>
      </c>
      <c r="B33" s="12"/>
      <c r="C33" s="12"/>
      <c r="D33" s="12"/>
      <c r="E33" s="12"/>
      <c r="F33" s="12"/>
    </row>
  </sheetData>
  <mergeCells count="1">
    <mergeCell ref="A33:F33"/>
  </mergeCells>
  <phoneticPr fontId="4"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8B54E-CE1A-5449-B57C-758F0A25C168}">
  <dimension ref="A1"/>
  <sheetViews>
    <sheetView zoomScale="172" workbookViewId="0">
      <selection activeCell="T32" sqref="T32"/>
    </sheetView>
  </sheetViews>
  <sheetFormatPr baseColWidth="10" defaultColWidth="10.6640625" defaultRowHeight="16" x14ac:dyDescent="0.2"/>
  <sheetData/>
  <phoneticPr fontId="4"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29C3-DD38-8748-80F0-D25BCA2BEDDE}">
  <dimension ref="A1:Q14"/>
  <sheetViews>
    <sheetView zoomScale="150" zoomScaleNormal="85" workbookViewId="0">
      <selection activeCell="C4" sqref="C4:C5"/>
    </sheetView>
  </sheetViews>
  <sheetFormatPr baseColWidth="10" defaultColWidth="8.83203125" defaultRowHeight="15" x14ac:dyDescent="0.2"/>
  <cols>
    <col min="1" max="1" width="34.5" style="2" bestFit="1" customWidth="1"/>
    <col min="2" max="15" width="16.1640625" style="3" customWidth="1"/>
    <col min="16" max="17" width="16.1640625" style="2" customWidth="1"/>
    <col min="18" max="16384" width="8.83203125" style="2"/>
  </cols>
  <sheetData>
    <row r="1" spans="1:17" x14ac:dyDescent="0.2">
      <c r="B1" s="13" t="s">
        <v>29</v>
      </c>
      <c r="C1" s="13"/>
      <c r="D1" s="13"/>
      <c r="E1" s="13"/>
      <c r="F1" s="13"/>
      <c r="G1" s="13"/>
      <c r="H1" s="13"/>
      <c r="I1" s="13"/>
      <c r="J1" s="13"/>
      <c r="K1" s="13"/>
      <c r="L1" s="13" t="s">
        <v>28</v>
      </c>
      <c r="M1" s="13"/>
      <c r="N1" s="13" t="s">
        <v>27</v>
      </c>
      <c r="O1" s="13"/>
      <c r="P1" s="13"/>
      <c r="Q1" s="13"/>
    </row>
    <row r="2" spans="1:17" x14ac:dyDescent="0.2">
      <c r="A2" s="2" t="str">
        <f>""</f>
        <v/>
      </c>
      <c r="B2" s="6" t="s">
        <v>26</v>
      </c>
      <c r="C2" s="6" t="s">
        <v>25</v>
      </c>
      <c r="D2" s="6" t="s">
        <v>24</v>
      </c>
      <c r="E2" s="6" t="s">
        <v>23</v>
      </c>
      <c r="F2" s="7" t="s">
        <v>22</v>
      </c>
      <c r="G2" s="7" t="s">
        <v>21</v>
      </c>
      <c r="H2" s="7" t="s">
        <v>20</v>
      </c>
      <c r="I2" s="7" t="s">
        <v>19</v>
      </c>
      <c r="J2" s="7" t="s">
        <v>18</v>
      </c>
      <c r="K2" s="7" t="s">
        <v>17</v>
      </c>
      <c r="L2" s="8" t="s">
        <v>16</v>
      </c>
      <c r="M2" s="8" t="s">
        <v>15</v>
      </c>
      <c r="N2" s="8" t="s">
        <v>14</v>
      </c>
      <c r="O2" s="8" t="s">
        <v>13</v>
      </c>
      <c r="P2" s="8" t="s">
        <v>12</v>
      </c>
      <c r="Q2" s="8" t="s">
        <v>11</v>
      </c>
    </row>
    <row r="3" spans="1:17" x14ac:dyDescent="0.2">
      <c r="A3" s="2" t="str">
        <f>""</f>
        <v/>
      </c>
      <c r="B3" s="3" t="str">
        <f>"Friend~=2"</f>
        <v>Friend~=2</v>
      </c>
      <c r="C3" s="3" t="str">
        <f>"Friend=2"</f>
        <v>Friend=2</v>
      </c>
      <c r="D3" s="3" t="str">
        <f>"Male~=Male"</f>
        <v>Male~=Male</v>
      </c>
      <c r="E3" s="3" t="str">
        <f>"Male=Male"</f>
        <v>Male=Male</v>
      </c>
      <c r="F3" s="3" t="str">
        <f>"Outgoing Low"</f>
        <v>Outgoing Low</v>
      </c>
      <c r="G3" s="3" t="str">
        <f>"Outgoing High"</f>
        <v>Outgoing High</v>
      </c>
      <c r="H3" s="4" t="str">
        <f>"Valuetrust Low"</f>
        <v>Valuetrust Low</v>
      </c>
      <c r="I3" s="4" t="str">
        <f>"Valuetrust High"</f>
        <v>Valuetrust High</v>
      </c>
      <c r="J3" s="4" t="str">
        <f>"Valuecowork Low"</f>
        <v>Valuecowork Low</v>
      </c>
      <c r="K3" s="4" t="str">
        <f>"Valuecowork High"</f>
        <v>Valuecowork High</v>
      </c>
      <c r="L3" s="5" t="str">
        <f>"Pbleffectsharidea Low"</f>
        <v>Pbleffectsharidea Low</v>
      </c>
      <c r="M3" s="5" t="str">
        <f>"Pbleffectsharidea High"</f>
        <v>Pbleffectsharidea High</v>
      </c>
      <c r="N3" s="4" t="str">
        <f>"Teacherinduce Low"</f>
        <v>Teacherinduce Low</v>
      </c>
      <c r="O3" s="4" t="str">
        <f>"Teacherinduce High"</f>
        <v>Teacherinduce High</v>
      </c>
      <c r="P3" s="3" t="str">
        <f>"Classparticipate Low"</f>
        <v>Classparticipate Low</v>
      </c>
      <c r="Q3" s="3" t="str">
        <f>"Classparticipate High"</f>
        <v>Classparticipate High</v>
      </c>
    </row>
    <row r="4" spans="1:17" x14ac:dyDescent="0.2">
      <c r="A4" s="2" t="str">
        <f>"HighCCEI"</f>
        <v>HighCCEI</v>
      </c>
      <c r="B4" s="3" t="str">
        <f>"-0.439**"</f>
        <v>-0.439**</v>
      </c>
      <c r="C4" s="3" t="str">
        <f>"-0.475**"</f>
        <v>-0.475**</v>
      </c>
      <c r="D4" s="3" t="str">
        <f>"-0.423**"</f>
        <v>-0.423**</v>
      </c>
      <c r="E4" s="3" t="str">
        <f>"-0.449**"</f>
        <v>-0.449**</v>
      </c>
      <c r="F4" s="3" t="str">
        <f>"-0.438**"</f>
        <v>-0.438**</v>
      </c>
      <c r="G4" s="3" t="str">
        <f>"-0.461**"</f>
        <v>-0.461**</v>
      </c>
      <c r="H4" s="4" t="str">
        <f>"-0.434**"</f>
        <v>-0.434**</v>
      </c>
      <c r="I4" s="4" t="str">
        <f>"-0.585**"</f>
        <v>-0.585**</v>
      </c>
      <c r="J4" s="4" t="str">
        <f>"-0.440**"</f>
        <v>-0.440**</v>
      </c>
      <c r="K4" s="4" t="str">
        <f>"-0.565**"</f>
        <v>-0.565**</v>
      </c>
      <c r="L4" s="5" t="str">
        <f>"-0.433**"</f>
        <v>-0.433**</v>
      </c>
      <c r="M4" s="5" t="str">
        <f>"-0.529**"</f>
        <v>-0.529**</v>
      </c>
      <c r="N4" s="4" t="str">
        <f>"-0.438**"</f>
        <v>-0.438**</v>
      </c>
      <c r="O4" s="4" t="str">
        <f>"-0.485**"</f>
        <v>-0.485**</v>
      </c>
      <c r="P4" s="3" t="str">
        <f>"-0.436**"</f>
        <v>-0.436**</v>
      </c>
      <c r="Q4" s="3" t="str">
        <f>"-0.508**"</f>
        <v>-0.508**</v>
      </c>
    </row>
    <row r="5" spans="1:17" x14ac:dyDescent="0.2">
      <c r="A5" s="2" t="str">
        <f>""</f>
        <v/>
      </c>
      <c r="B5" s="3" t="str">
        <f>"(0.018)"</f>
        <v>(0.018)</v>
      </c>
      <c r="C5" s="3" t="str">
        <f>"(0.033)"</f>
        <v>(0.033)</v>
      </c>
      <c r="D5" s="3" t="str">
        <f>"(0.036)"</f>
        <v>(0.036)</v>
      </c>
      <c r="E5" s="3" t="str">
        <f>"(0.016)"</f>
        <v>(0.016)</v>
      </c>
      <c r="F5" s="3" t="str">
        <f>"(0.016)"</f>
        <v>(0.016)</v>
      </c>
      <c r="G5" s="3" t="str">
        <f>"(0.032)"</f>
        <v>(0.032)</v>
      </c>
      <c r="H5" s="4" t="str">
        <f>"(0.015)"</f>
        <v>(0.015)</v>
      </c>
      <c r="I5" s="4" t="str">
        <f>"(0.053)"</f>
        <v>(0.053)</v>
      </c>
      <c r="J5" s="4" t="str">
        <f>"(0.015)"</f>
        <v>(0.015)</v>
      </c>
      <c r="K5" s="4" t="str">
        <f>"(0.099)"</f>
        <v>(0.099)</v>
      </c>
      <c r="L5" s="5" t="str">
        <f>"(0.017)"</f>
        <v>(0.017)</v>
      </c>
      <c r="M5" s="5" t="str">
        <f>"(0.040)"</f>
        <v>(0.040)</v>
      </c>
      <c r="N5" s="4" t="str">
        <f>"(0.017)"</f>
        <v>(0.017)</v>
      </c>
      <c r="O5" s="4" t="str">
        <f>"(0.039)"</f>
        <v>(0.039)</v>
      </c>
      <c r="P5" s="3" t="str">
        <f>"(0.017)"</f>
        <v>(0.017)</v>
      </c>
      <c r="Q5" s="3" t="str">
        <f>"(0.044)"</f>
        <v>(0.044)</v>
      </c>
    </row>
    <row r="6" spans="1:17" ht="16" x14ac:dyDescent="0.2">
      <c r="A6" s="2" t="s">
        <v>30</v>
      </c>
      <c r="B6" s="9" t="s">
        <v>31</v>
      </c>
      <c r="C6" s="9" t="s">
        <v>32</v>
      </c>
      <c r="D6" s="9" t="s">
        <v>33</v>
      </c>
      <c r="E6" s="9" t="s">
        <v>34</v>
      </c>
      <c r="F6" s="9" t="s">
        <v>35</v>
      </c>
      <c r="G6" s="9" t="s">
        <v>36</v>
      </c>
      <c r="H6" s="9" t="s">
        <v>37</v>
      </c>
      <c r="I6" s="9" t="s">
        <v>38</v>
      </c>
      <c r="J6" s="9" t="s">
        <v>39</v>
      </c>
      <c r="K6" s="9" t="s">
        <v>40</v>
      </c>
      <c r="L6" s="9" t="s">
        <v>41</v>
      </c>
      <c r="M6" s="9" t="s">
        <v>42</v>
      </c>
      <c r="N6" s="9" t="s">
        <v>43</v>
      </c>
      <c r="O6" s="9" t="s">
        <v>44</v>
      </c>
      <c r="P6" s="9" t="s">
        <v>45</v>
      </c>
      <c r="Q6" s="10" t="s">
        <v>46</v>
      </c>
    </row>
    <row r="7" spans="1:17" x14ac:dyDescent="0.2">
      <c r="A7" s="2" t="str">
        <f>"_cons"</f>
        <v>_cons</v>
      </c>
      <c r="B7" s="3" t="str">
        <f>"0.719**"</f>
        <v>0.719**</v>
      </c>
      <c r="C7" s="3" t="str">
        <f>"0.738**"</f>
        <v>0.738**</v>
      </c>
      <c r="D7" s="3" t="str">
        <f>"0.711**"</f>
        <v>0.711**</v>
      </c>
      <c r="E7" s="3" t="str">
        <f>"0.725**"</f>
        <v>0.725**</v>
      </c>
      <c r="F7" s="3" t="str">
        <f>"0.719**"</f>
        <v>0.719**</v>
      </c>
      <c r="G7" s="3" t="str">
        <f>"0.731**"</f>
        <v>0.731**</v>
      </c>
      <c r="H7" s="4" t="str">
        <f>"0.717**"</f>
        <v>0.717**</v>
      </c>
      <c r="I7" s="4" t="str">
        <f>"0.793**"</f>
        <v>0.793**</v>
      </c>
      <c r="J7" s="4" t="str">
        <f>"0.720**"</f>
        <v>0.720**</v>
      </c>
      <c r="K7" s="4" t="str">
        <f>"0.783**"</f>
        <v>0.783**</v>
      </c>
      <c r="L7" s="5" t="str">
        <f>"0.717**"</f>
        <v>0.717**</v>
      </c>
      <c r="M7" s="5" t="str">
        <f>"0.764**"</f>
        <v>0.764**</v>
      </c>
      <c r="N7" s="4" t="str">
        <f>"0.719**"</f>
        <v>0.719**</v>
      </c>
      <c r="O7" s="4" t="str">
        <f>"0.742**"</f>
        <v>0.742**</v>
      </c>
      <c r="P7" s="3" t="str">
        <f>"0.718**"</f>
        <v>0.718**</v>
      </c>
      <c r="Q7" s="3" t="str">
        <f>"0.754**"</f>
        <v>0.754**</v>
      </c>
    </row>
    <row r="8" spans="1:17" x14ac:dyDescent="0.2">
      <c r="A8" s="2" t="str">
        <f>""</f>
        <v/>
      </c>
      <c r="B8" s="3" t="str">
        <f>"(0.009)"</f>
        <v>(0.009)</v>
      </c>
      <c r="C8" s="3" t="str">
        <f>"(0.016)"</f>
        <v>(0.016)</v>
      </c>
      <c r="D8" s="3" t="str">
        <f>"(0.018)"</f>
        <v>(0.018)</v>
      </c>
      <c r="E8" s="3" t="str">
        <f>"(0.008)"</f>
        <v>(0.008)</v>
      </c>
      <c r="F8" s="3" t="str">
        <f>"(0.008)"</f>
        <v>(0.008)</v>
      </c>
      <c r="G8" s="3" t="str">
        <f>"(0.016)"</f>
        <v>(0.016)</v>
      </c>
      <c r="H8" s="4" t="str">
        <f>"(0.008)"</f>
        <v>(0.008)</v>
      </c>
      <c r="I8" s="4" t="str">
        <f>"(0.027)"</f>
        <v>(0.027)</v>
      </c>
      <c r="J8" s="4" t="str">
        <f>"(0.008)"</f>
        <v>(0.008)</v>
      </c>
      <c r="K8" s="4" t="str">
        <f>"(0.050)"</f>
        <v>(0.050)</v>
      </c>
      <c r="L8" s="5" t="str">
        <f>"(0.008)"</f>
        <v>(0.008)</v>
      </c>
      <c r="M8" s="5" t="str">
        <f>"(0.020)"</f>
        <v>(0.020)</v>
      </c>
      <c r="N8" s="4" t="str">
        <f>"(0.008)"</f>
        <v>(0.008)</v>
      </c>
      <c r="O8" s="4" t="str">
        <f>"(0.019)"</f>
        <v>(0.019)</v>
      </c>
      <c r="P8" s="3" t="str">
        <f>"(0.009)"</f>
        <v>(0.009)</v>
      </c>
      <c r="Q8" s="3" t="str">
        <f>"(0.022)"</f>
        <v>(0.022)</v>
      </c>
    </row>
    <row r="9" spans="1:17" x14ac:dyDescent="0.2">
      <c r="A9" s="2" t="str">
        <f>"N"</f>
        <v>N</v>
      </c>
      <c r="B9" s="3" t="str">
        <f>"2100"</f>
        <v>2100</v>
      </c>
      <c r="C9" s="3" t="str">
        <f>"306"</f>
        <v>306</v>
      </c>
      <c r="D9" s="3" t="str">
        <f>"526"</f>
        <v>526</v>
      </c>
      <c r="E9" s="3" t="str">
        <f>"1880"</f>
        <v>1880</v>
      </c>
      <c r="F9" s="3" t="str">
        <f>"1822"</f>
        <v>1822</v>
      </c>
      <c r="G9" s="3" t="str">
        <f>"584"</f>
        <v>584</v>
      </c>
      <c r="H9" s="4" t="str">
        <f>"2254"</f>
        <v>2254</v>
      </c>
      <c r="I9" s="4" t="str">
        <f>"152"</f>
        <v>152</v>
      </c>
      <c r="J9" s="4" t="str">
        <f>"2332"</f>
        <v>2332</v>
      </c>
      <c r="K9" s="4" t="str">
        <f>"74"</f>
        <v>74</v>
      </c>
      <c r="L9" s="5" t="str">
        <f>"2146"</f>
        <v>2146</v>
      </c>
      <c r="M9" s="5" t="str">
        <f>"260"</f>
        <v>260</v>
      </c>
      <c r="N9" s="4" t="str">
        <f>"2142"</f>
        <v>2142</v>
      </c>
      <c r="O9" s="4" t="str">
        <f>"264"</f>
        <v>264</v>
      </c>
      <c r="P9" s="3" t="str">
        <f>"2152"</f>
        <v>2152</v>
      </c>
      <c r="Q9" s="3" t="str">
        <f>"254"</f>
        <v>254</v>
      </c>
    </row>
    <row r="10" spans="1:17" x14ac:dyDescent="0.2">
      <c r="A10" s="2" t="str">
        <f>"R-squared"</f>
        <v>R-squared</v>
      </c>
      <c r="B10" s="3" t="str">
        <f>"0.369"</f>
        <v>0.369</v>
      </c>
      <c r="C10" s="3" t="str">
        <f>"0.438"</f>
        <v>0.438</v>
      </c>
      <c r="D10" s="3" t="str">
        <f>"0.339"</f>
        <v>0.339</v>
      </c>
      <c r="E10" s="3" t="str">
        <f>"0.389"</f>
        <v>0.389</v>
      </c>
      <c r="F10" s="3" t="str">
        <f>"0.367"</f>
        <v>0.367</v>
      </c>
      <c r="G10" s="3" t="str">
        <f>"0.412"</f>
        <v>0.412</v>
      </c>
      <c r="H10" s="4" t="str">
        <f>"0.363"</f>
        <v>0.363</v>
      </c>
      <c r="I10" s="4" t="str">
        <f>"0.631"</f>
        <v>0.631</v>
      </c>
      <c r="J10" s="4" t="str">
        <f>"0.373"</f>
        <v>0.373</v>
      </c>
      <c r="K10" s="4" t="str">
        <f>"0.546"</f>
        <v>0.546</v>
      </c>
      <c r="L10" s="5" t="str">
        <f>"0.360"</f>
        <v>0.360</v>
      </c>
      <c r="M10" s="5" t="str">
        <f>"0.542"</f>
        <v>0.542</v>
      </c>
      <c r="N10" s="4" t="str">
        <f>"0.372"</f>
        <v>0.372</v>
      </c>
      <c r="O10" s="4" t="str">
        <f>"0.425"</f>
        <v>0.425</v>
      </c>
      <c r="P10" s="3" t="str">
        <f>"0.363"</f>
        <v>0.363</v>
      </c>
      <c r="Q10" s="3" t="str">
        <f>"0.513"</f>
        <v>0.513</v>
      </c>
    </row>
    <row r="11" spans="1:17" x14ac:dyDescent="0.2">
      <c r="A11" s="2" t="s">
        <v>10</v>
      </c>
      <c r="B11" s="3">
        <v>0.84</v>
      </c>
      <c r="D11" s="3">
        <v>0.47</v>
      </c>
      <c r="F11" s="3">
        <v>0.45</v>
      </c>
      <c r="H11" s="4">
        <v>7.88</v>
      </c>
      <c r="I11" s="4"/>
      <c r="J11" s="4">
        <v>1.65</v>
      </c>
      <c r="K11" s="4"/>
      <c r="L11" s="5">
        <v>4.2300000000000004</v>
      </c>
      <c r="M11" s="5"/>
      <c r="N11" s="4">
        <v>1.1599999999999999</v>
      </c>
      <c r="O11" s="4"/>
      <c r="P11" s="3">
        <v>2.1</v>
      </c>
      <c r="Q11" s="3"/>
    </row>
    <row r="12" spans="1:17" x14ac:dyDescent="0.2">
      <c r="A12" s="2" t="s">
        <v>9</v>
      </c>
      <c r="B12" s="3">
        <v>0.3604</v>
      </c>
      <c r="D12" s="3">
        <v>0.49259999999999998</v>
      </c>
      <c r="F12" s="3">
        <v>0.50119999999999998</v>
      </c>
      <c r="H12" s="4">
        <v>5.0000000000000001E-3</v>
      </c>
      <c r="I12" s="4"/>
      <c r="J12" s="4">
        <v>0.19950000000000001</v>
      </c>
      <c r="K12" s="4"/>
      <c r="L12" s="5">
        <v>3.9800000000000002E-2</v>
      </c>
      <c r="M12" s="5"/>
      <c r="N12" s="4">
        <v>0.28120000000000001</v>
      </c>
      <c r="O12" s="4"/>
      <c r="P12" s="3">
        <v>0.1477</v>
      </c>
      <c r="Q12" s="3"/>
    </row>
    <row r="13" spans="1:17" x14ac:dyDescent="0.2">
      <c r="A13" s="2" t="str">
        <f>"Standard errors in parentheses"</f>
        <v>Standard errors in parentheses</v>
      </c>
    </row>
    <row r="14" spans="1:17" x14ac:dyDescent="0.2">
      <c r="A14" s="2" t="s">
        <v>4</v>
      </c>
      <c r="B14" s="3" t="s">
        <v>5</v>
      </c>
      <c r="C14" s="3" t="s">
        <v>6</v>
      </c>
    </row>
  </sheetData>
  <mergeCells count="3">
    <mergeCell ref="B1:K1"/>
    <mergeCell ref="L1:M1"/>
    <mergeCell ref="N1:Q1"/>
  </mergeCells>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Table2-CollectiveCCEI</vt:lpstr>
      <vt:lpstr>Table3-CCEIBargaining</vt:lpstr>
      <vt:lpstr>Table3-Balanced CCEIBargaining</vt:lpstr>
      <vt:lpstr>Table4-RAAggregation</vt:lpstr>
      <vt:lpstr>Figure A1</vt:lpstr>
      <vt:lpstr>Figure 6-Hetero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 Minseon</dc:creator>
  <cp:lastModifiedBy>Park, Minseon</cp:lastModifiedBy>
  <dcterms:created xsi:type="dcterms:W3CDTF">2025-09-01T14:44:25Z</dcterms:created>
  <dcterms:modified xsi:type="dcterms:W3CDTF">2025-09-04T12:15:32Z</dcterms:modified>
</cp:coreProperties>
</file>