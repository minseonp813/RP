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hn0\Desktop\RP_finalized_0901\results\"/>
    </mc:Choice>
  </mc:AlternateContent>
  <xr:revisionPtr revIDLastSave="0" documentId="13_ncr:1_{6DA2A7A6-02D4-4D45-B6B7-FC8D88024DC0}" xr6:coauthVersionLast="47" xr6:coauthVersionMax="47" xr10:uidLastSave="{00000000-0000-0000-0000-000000000000}"/>
  <bookViews>
    <workbookView xWindow="11003" yWindow="1005" windowWidth="9839" windowHeight="9308" xr2:uid="{00000000-000D-0000-FFFF-FFFF00000000}"/>
  </bookViews>
  <sheets>
    <sheet name="table_bargainingCCEI_me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" i="1" l="1"/>
  <c r="J3" i="1"/>
  <c r="AK9" i="1"/>
  <c r="AJ9" i="1"/>
  <c r="AK8" i="1"/>
  <c r="AJ8" i="1"/>
  <c r="AK7" i="1"/>
  <c r="AJ7" i="1"/>
  <c r="AK6" i="1"/>
  <c r="AJ6" i="1"/>
  <c r="AK5" i="1"/>
  <c r="AJ5" i="1"/>
  <c r="AK4" i="1"/>
  <c r="AJ4" i="1"/>
  <c r="AK3" i="1"/>
  <c r="AJ3" i="1"/>
  <c r="A2" i="1"/>
  <c r="N2" i="1"/>
  <c r="O2" i="1"/>
  <c r="P2" i="1"/>
  <c r="Q2" i="1"/>
  <c r="R2" i="1"/>
  <c r="S2" i="1"/>
  <c r="T2" i="1"/>
  <c r="U2" i="1"/>
  <c r="A3" i="1"/>
  <c r="B3" i="1"/>
  <c r="C3" i="1"/>
  <c r="D3" i="1"/>
  <c r="E3" i="1"/>
  <c r="F3" i="1"/>
  <c r="G3" i="1"/>
  <c r="H3" i="1"/>
  <c r="I3" i="1"/>
  <c r="K3" i="1"/>
  <c r="L3" i="1"/>
  <c r="M3" i="1"/>
  <c r="N3" i="1"/>
  <c r="O3" i="1"/>
  <c r="P3" i="1"/>
  <c r="Q3" i="1"/>
  <c r="R3" i="1"/>
  <c r="S3" i="1"/>
  <c r="T3" i="1"/>
  <c r="U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2" i="1"/>
</calcChain>
</file>

<file path=xl/sharedStrings.xml><?xml version="1.0" encoding="utf-8"?>
<sst xmlns="http://schemas.openxmlformats.org/spreadsheetml/2006/main" count="34" uniqueCount="20">
  <si>
    <t>="+ p&lt;0.1</t>
  </si>
  <si>
    <t xml:space="preserve"> * p&lt;0.05</t>
  </si>
  <si>
    <t xml:space="preserve"> ** p&lt;0.01"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</si>
  <si>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</si>
  <si>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</si>
  <si>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</si>
  <si>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</si>
  <si>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</si>
  <si>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</si>
  <si>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</si>
  <si>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</si>
  <si>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</si>
  <si>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</si>
  <si>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</si>
  <si>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</si>
  <si>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group 1: mutual friendship, observable characteristics</t>
  </si>
  <si>
    <t>group 2: PBL related</t>
  </si>
  <si>
    <t>group 3: class pariticipation without mentioning PBL</t>
  </si>
  <si>
    <t>Suest Prob &gt; chi2</t>
    <phoneticPr fontId="18" type="noConversion"/>
  </si>
  <si>
    <t>Suest Chi2 (beta_HighCCEI = beta_HighCCEI)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</si>
</sst>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"/>
  <sheetViews>
    <sheetView tabSelected="1" topLeftCell="AF1" zoomScale="72" zoomScaleNormal="150" workbookViewId="0">
      <selection activeCell="V3" sqref="V3"/>
    </sheetView>
  </sheetViews>
  <sheetFormatPr defaultColWidth="8.8125" defaultRowHeight="16.899999999999999" x14ac:dyDescent="0.6"/>
  <cols>
    <col min="1" max="1" width="40.0625" bestFit="1" customWidth="1"/>
    <col min="2" max="3" width="8.8125" style="2"/>
    <col min="4" max="4" width="10.6875" style="2" bestFit="1" customWidth="1"/>
    <col min="5" max="5" width="9.6875" style="2" bestFit="1" customWidth="1"/>
    <col min="6" max="6" width="11.6875" style="2" bestFit="1" customWidth="1"/>
    <col min="7" max="7" width="12.1875" style="2" bestFit="1" customWidth="1"/>
    <col min="8" max="8" width="8.6875" style="2" bestFit="1" customWidth="1"/>
    <col min="9" max="9" width="9.1875" style="2" bestFit="1" customWidth="1"/>
    <col min="10" max="10" width="12.6875" style="2" bestFit="1" customWidth="1"/>
    <col min="11" max="11" width="13.1875" style="2" bestFit="1" customWidth="1"/>
    <col min="12" max="12" width="14.6875" style="2" bestFit="1" customWidth="1"/>
    <col min="13" max="13" width="15" style="2" bestFit="1" customWidth="1"/>
    <col min="14" max="21" width="0" hidden="1" customWidth="1"/>
    <col min="22" max="22" width="18" style="2" bestFit="1" customWidth="1"/>
    <col min="23" max="23" width="18.5" style="2" bestFit="1" customWidth="1"/>
    <col min="24" max="24" width="19.1875" style="2" bestFit="1" customWidth="1"/>
    <col min="25" max="25" width="19.6875" style="2" bestFit="1" customWidth="1"/>
    <col min="26" max="26" width="22.3125" style="2" bestFit="1" customWidth="1"/>
    <col min="27" max="27" width="22.6875" style="2" bestFit="1" customWidth="1"/>
    <col min="28" max="28" width="18.5" style="2" bestFit="1" customWidth="1"/>
    <col min="29" max="29" width="19" style="2" bestFit="1" customWidth="1"/>
    <col min="30" max="30" width="19.3125" style="2" bestFit="1" customWidth="1"/>
    <col min="31" max="31" width="19.6875" style="2" bestFit="1" customWidth="1"/>
    <col min="32" max="32" width="16" style="2" bestFit="1" customWidth="1"/>
    <col min="33" max="33" width="16.5" style="2" bestFit="1" customWidth="1"/>
    <col min="34" max="34" width="17.4375" style="2" bestFit="1" customWidth="1"/>
    <col min="35" max="35" width="18.0625" style="2" bestFit="1" customWidth="1"/>
    <col min="36" max="36" width="17.4375" bestFit="1" customWidth="1"/>
    <col min="37" max="37" width="18.0625" bestFit="1" customWidth="1"/>
  </cols>
  <sheetData>
    <row r="1" spans="1:37" x14ac:dyDescent="0.6">
      <c r="B1" s="7" t="s">
        <v>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V1" s="7" t="s">
        <v>16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 t="s">
        <v>17</v>
      </c>
      <c r="AI1" s="7"/>
      <c r="AJ1" s="7"/>
      <c r="AK1" s="7"/>
    </row>
    <row r="2" spans="1:37" x14ac:dyDescent="0.6">
      <c r="A2" t="str">
        <f>""</f>
        <v/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t="str">
        <f>"(19)"</f>
        <v>(19)</v>
      </c>
      <c r="O2" t="str">
        <f>"(20)"</f>
        <v>(20)</v>
      </c>
      <c r="P2" t="str">
        <f>"(21)"</f>
        <v>(21)</v>
      </c>
      <c r="Q2" t="str">
        <f>"(22)"</f>
        <v>(22)</v>
      </c>
      <c r="R2" t="str">
        <f>"(23)"</f>
        <v>(23)</v>
      </c>
      <c r="S2" t="str">
        <f>"(24)"</f>
        <v>(24)</v>
      </c>
      <c r="T2" t="str">
        <f>"(25)"</f>
        <v>(25)</v>
      </c>
      <c r="U2" t="str">
        <f>"(26)"</f>
        <v>(26)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3</v>
      </c>
      <c r="AI2" s="1" t="s">
        <v>4</v>
      </c>
      <c r="AJ2" s="5">
        <v>3</v>
      </c>
      <c r="AK2" s="5">
        <v>4</v>
      </c>
    </row>
    <row r="3" spans="1:37" x14ac:dyDescent="0.6">
      <c r="A3" t="str">
        <f>""</f>
        <v/>
      </c>
      <c r="B3" s="2" t="str">
        <f>"Friend~=2"</f>
        <v>Friend~=2</v>
      </c>
      <c r="C3" s="2" t="str">
        <f>"Friend=2"</f>
        <v>Friend=2</v>
      </c>
      <c r="D3" s="2" t="str">
        <f>"Male~=Male"</f>
        <v>Male~=Male</v>
      </c>
      <c r="E3" s="2" t="str">
        <f>"Male=Male"</f>
        <v>Male=Male</v>
      </c>
      <c r="F3" s="2" t="str">
        <f>"Outgoing Low"</f>
        <v>Outgoing Low</v>
      </c>
      <c r="G3" s="2" t="str">
        <f>"Outgoing High"</f>
        <v>Outgoing High</v>
      </c>
      <c r="H3" s="2" t="str">
        <f>"Open Low"</f>
        <v>Open Low</v>
      </c>
      <c r="I3" s="2" t="str">
        <f>"Open High"</f>
        <v>Open High</v>
      </c>
      <c r="J3" s="3" t="str">
        <f>"Valuetrust Low"</f>
        <v>Valuetrust Low</v>
      </c>
      <c r="K3" s="3" t="str">
        <f>"Valuetrust High"</f>
        <v>Valuetrust High</v>
      </c>
      <c r="L3" s="3" t="str">
        <f>"Valuecowork Low"</f>
        <v>Valuecowork Low</v>
      </c>
      <c r="M3" s="3" t="str">
        <f>"Valuecowork High"</f>
        <v>Valuecowork High</v>
      </c>
      <c r="N3" t="str">
        <f>"Pblkorean Low"</f>
        <v>Pblkorean Low</v>
      </c>
      <c r="O3" t="str">
        <f>"Pblkorean High"</f>
        <v>Pblkorean High</v>
      </c>
      <c r="P3" t="str">
        <f>"Pbleng Low"</f>
        <v>Pbleng Low</v>
      </c>
      <c r="Q3" t="str">
        <f>"Pbleng High"</f>
        <v>Pbleng High</v>
      </c>
      <c r="R3" t="str">
        <f>"Pblmath Low"</f>
        <v>Pblmath Low</v>
      </c>
      <c r="S3" t="str">
        <f>"Pblmath High"</f>
        <v>Pblmath High</v>
      </c>
      <c r="T3" t="str">
        <f>"Pblscience Low"</f>
        <v>Pblscience Low</v>
      </c>
      <c r="U3" t="str">
        <f>"Pblscience High"</f>
        <v>Pblscience High</v>
      </c>
      <c r="V3" s="4" t="str">
        <f>"Pbleffectsharidea Low"</f>
        <v>Pbleffectsharidea Low</v>
      </c>
      <c r="W3" s="4" t="str">
        <f>"Pbleffectsharidea High"</f>
        <v>Pbleffectsharidea High</v>
      </c>
      <c r="X3" s="2" t="str">
        <f>"Pbleffecthelpstudy Low"</f>
        <v>Pbleffecthelpstudy Low</v>
      </c>
      <c r="Y3" s="2" t="str">
        <f>"Pbleffecthelpstudy High"</f>
        <v>Pbleffecthelpstudy High</v>
      </c>
      <c r="Z3" s="2" t="str">
        <f>"Pbleffecthelpnonstudy Low"</f>
        <v>Pbleffecthelpnonstudy Low</v>
      </c>
      <c r="AA3" s="2" t="str">
        <f>"Pbleffecthelpnonstudy High"</f>
        <v>Pbleffecthelpnonstudy High</v>
      </c>
      <c r="AB3" s="2" t="str">
        <f>"Pbleffectoldfriend Low"</f>
        <v>Pbleffectoldfriend Low</v>
      </c>
      <c r="AC3" s="2" t="str">
        <f>"Pbleffectoldfriend High"</f>
        <v>Pbleffectoldfriend High</v>
      </c>
      <c r="AD3" s="4" t="str">
        <f>"Pbleffectnewfriend Low"</f>
        <v>Pbleffectnewfriend Low</v>
      </c>
      <c r="AE3" s="4" t="str">
        <f>"Pbleffectnewfriend High"</f>
        <v>Pbleffectnewfriend High</v>
      </c>
      <c r="AF3" s="2" t="str">
        <f>"Pbleffectfriend Low"</f>
        <v>Pbleffectfriend Low</v>
      </c>
      <c r="AG3" s="2" t="str">
        <f>"Pbleffectfriend High"</f>
        <v>Pbleffectfriend High</v>
      </c>
      <c r="AH3" s="3" t="str">
        <f>"Teacherinduce Low"</f>
        <v>Teacherinduce Low</v>
      </c>
      <c r="AI3" s="3" t="str">
        <f>"Teacherinduce High"</f>
        <v>Teacherinduce High</v>
      </c>
      <c r="AJ3" s="6" t="str">
        <f>"Classparticipate Low"</f>
        <v>Classparticipate Low</v>
      </c>
      <c r="AK3" s="6" t="str">
        <f>"Classparticipate High"</f>
        <v>Classparticipate High</v>
      </c>
    </row>
    <row r="4" spans="1:37" x14ac:dyDescent="0.6">
      <c r="A4" t="str">
        <f>"HighCCEI"</f>
        <v>HighCCEI</v>
      </c>
      <c r="B4" s="2" t="str">
        <f>"-0.439**"</f>
        <v>-0.439**</v>
      </c>
      <c r="C4" s="2" t="str">
        <f>"-0.475**"</f>
        <v>-0.475**</v>
      </c>
      <c r="D4" s="2" t="str">
        <f>"-0.423**"</f>
        <v>-0.423**</v>
      </c>
      <c r="E4" s="2" t="str">
        <f>"-0.449**"</f>
        <v>-0.449**</v>
      </c>
      <c r="F4" s="2" t="str">
        <f>"-0.438**"</f>
        <v>-0.438**</v>
      </c>
      <c r="G4" s="2" t="str">
        <f>"-0.461**"</f>
        <v>-0.461**</v>
      </c>
      <c r="H4" s="2" t="str">
        <f>"-0.437**"</f>
        <v>-0.437**</v>
      </c>
      <c r="I4" s="2" t="str">
        <f>"-0.471**"</f>
        <v>-0.471**</v>
      </c>
      <c r="J4" s="3" t="str">
        <f>"-0.434**"</f>
        <v>-0.434**</v>
      </c>
      <c r="K4" s="3" t="str">
        <f>"-0.585**"</f>
        <v>-0.585**</v>
      </c>
      <c r="L4" s="3" t="str">
        <f>"-0.440**"</f>
        <v>-0.440**</v>
      </c>
      <c r="M4" s="3" t="str">
        <f>"-0.565**"</f>
        <v>-0.565**</v>
      </c>
      <c r="N4" t="str">
        <f>"-0.461**"</f>
        <v>-0.461**</v>
      </c>
      <c r="O4" t="str">
        <f>"-0.430**"</f>
        <v>-0.430**</v>
      </c>
      <c r="P4" t="str">
        <f>"-0.464**"</f>
        <v>-0.464**</v>
      </c>
      <c r="Q4" t="str">
        <f>"-0.415**"</f>
        <v>-0.415**</v>
      </c>
      <c r="R4" t="str">
        <f>"-0.462**"</f>
        <v>-0.462**</v>
      </c>
      <c r="S4" t="str">
        <f>"-0.418**"</f>
        <v>-0.418**</v>
      </c>
      <c r="T4" t="str">
        <f>"-0.423**"</f>
        <v>-0.423**</v>
      </c>
      <c r="U4" t="str">
        <f>"-0.463**"</f>
        <v>-0.463**</v>
      </c>
      <c r="V4" s="4" t="str">
        <f>"-0.433**"</f>
        <v>-0.433**</v>
      </c>
      <c r="W4" s="4" t="str">
        <f>"-0.529**"</f>
        <v>-0.529**</v>
      </c>
      <c r="X4" s="2" t="str">
        <f>"-0.441**"</f>
        <v>-0.441**</v>
      </c>
      <c r="Y4" s="2" t="str">
        <f>"-0.471**"</f>
        <v>-0.471**</v>
      </c>
      <c r="Z4" s="2" t="str">
        <f>"-0.441**"</f>
        <v>-0.441**</v>
      </c>
      <c r="AA4" s="2" t="str">
        <f>"-0.479**"</f>
        <v>-0.479**</v>
      </c>
      <c r="AB4" s="2" t="str">
        <f>"-0.435**"</f>
        <v>-0.435**</v>
      </c>
      <c r="AC4" s="2" t="str">
        <f>"-0.482**"</f>
        <v>-0.482**</v>
      </c>
      <c r="AD4" s="4" t="str">
        <f>"-0.435**"</f>
        <v>-0.435**</v>
      </c>
      <c r="AE4" s="4" t="str">
        <f>"-0.516**"</f>
        <v>-0.516**</v>
      </c>
      <c r="AF4" s="2" t="str">
        <f>"-0.435**"</f>
        <v>-0.435**</v>
      </c>
      <c r="AG4" s="2" t="str">
        <f>"-0.483**"</f>
        <v>-0.483**</v>
      </c>
      <c r="AH4" s="3" t="str">
        <f>"-0.438**"</f>
        <v>-0.438**</v>
      </c>
      <c r="AI4" s="3" t="str">
        <f>"-0.485**"</f>
        <v>-0.485**</v>
      </c>
      <c r="AJ4" s="6" t="str">
        <f>"-0.436**"</f>
        <v>-0.436**</v>
      </c>
      <c r="AK4" s="6" t="str">
        <f>"-0.508**"</f>
        <v>-0.508**</v>
      </c>
    </row>
    <row r="5" spans="1:37" x14ac:dyDescent="0.6">
      <c r="A5" t="str">
        <f>""</f>
        <v/>
      </c>
      <c r="B5" s="2" t="str">
        <f>"(0.018)"</f>
        <v>(0.018)</v>
      </c>
      <c r="C5" s="2" t="str">
        <f>"(0.033)"</f>
        <v>(0.033)</v>
      </c>
      <c r="D5" s="2" t="str">
        <f>"(0.036)"</f>
        <v>(0.036)</v>
      </c>
      <c r="E5" s="2" t="str">
        <f>"(0.016)"</f>
        <v>(0.016)</v>
      </c>
      <c r="F5" s="2" t="str">
        <f>"(0.016)"</f>
        <v>(0.016)</v>
      </c>
      <c r="G5" s="2" t="str">
        <f>"(0.032)"</f>
        <v>(0.032)</v>
      </c>
      <c r="H5" s="2" t="str">
        <f>"(0.019)"</f>
        <v>(0.019)</v>
      </c>
      <c r="I5" s="2" t="str">
        <f>"(0.032)"</f>
        <v>(0.032)</v>
      </c>
      <c r="J5" s="3" t="str">
        <f>"(0.015)"</f>
        <v>(0.015)</v>
      </c>
      <c r="K5" s="3" t="str">
        <f>"(0.053)"</f>
        <v>(0.053)</v>
      </c>
      <c r="L5" s="3" t="str">
        <f>"(0.015)"</f>
        <v>(0.015)</v>
      </c>
      <c r="M5" s="3" t="str">
        <f>"(0.099)"</f>
        <v>(0.099)</v>
      </c>
      <c r="N5" t="str">
        <f>"(0.024)"</f>
        <v>(0.024)</v>
      </c>
      <c r="O5" t="str">
        <f>"(0.019)"</f>
        <v>(0.019)</v>
      </c>
      <c r="P5" t="str">
        <f>"(0.021)"</f>
        <v>(0.021)</v>
      </c>
      <c r="Q5" t="str">
        <f>"(0.025)"</f>
        <v>(0.025)</v>
      </c>
      <c r="R5" t="str">
        <f>"(0.020)"</f>
        <v>(0.020)</v>
      </c>
      <c r="S5" t="str">
        <f>"(0.026)"</f>
        <v>(0.026)</v>
      </c>
      <c r="T5" t="str">
        <f>"(0.021)"</f>
        <v>(0.021)</v>
      </c>
      <c r="U5" t="str">
        <f>"(0.025)"</f>
        <v>(0.025)</v>
      </c>
      <c r="V5" s="4" t="str">
        <f>"(0.017)"</f>
        <v>(0.017)</v>
      </c>
      <c r="W5" s="4" t="str">
        <f>"(0.040)"</f>
        <v>(0.040)</v>
      </c>
      <c r="X5" s="2" t="str">
        <f>"(0.017)"</f>
        <v>(0.017)</v>
      </c>
      <c r="Y5" s="2" t="str">
        <f>"(0.056)"</f>
        <v>(0.056)</v>
      </c>
      <c r="Z5" s="2" t="str">
        <f>"(0.016)"</f>
        <v>(0.016)</v>
      </c>
      <c r="AA5" s="2" t="str">
        <f>"(0.060)"</f>
        <v>(0.060)</v>
      </c>
      <c r="AB5" s="2" t="str">
        <f>"(0.018)"</f>
        <v>(0.018)</v>
      </c>
      <c r="AC5" s="2" t="str">
        <f>"(0.032)"</f>
        <v>(0.032)</v>
      </c>
      <c r="AD5" s="4" t="str">
        <f>"(0.018)"</f>
        <v>(0.018)</v>
      </c>
      <c r="AE5" s="4" t="str">
        <f>"(0.045)"</f>
        <v>(0.045)</v>
      </c>
      <c r="AF5" s="2" t="str">
        <f>"(0.018)"</f>
        <v>(0.018)</v>
      </c>
      <c r="AG5" s="2" t="str">
        <f>"(0.035)"</f>
        <v>(0.035)</v>
      </c>
      <c r="AH5" s="3" t="str">
        <f>"(0.017)"</f>
        <v>(0.017)</v>
      </c>
      <c r="AI5" s="3" t="str">
        <f>"(0.039)"</f>
        <v>(0.039)</v>
      </c>
      <c r="AJ5" s="6" t="str">
        <f>"(0.017)"</f>
        <v>(0.017)</v>
      </c>
      <c r="AK5" s="6" t="str">
        <f>"(0.044)"</f>
        <v>(0.044)</v>
      </c>
    </row>
    <row r="6" spans="1:37" x14ac:dyDescent="0.6">
      <c r="A6" t="str">
        <f>"_cons"</f>
        <v>_cons</v>
      </c>
      <c r="B6" s="2" t="str">
        <f>"0.719**"</f>
        <v>0.719**</v>
      </c>
      <c r="C6" s="2" t="str">
        <f>"0.738**"</f>
        <v>0.738**</v>
      </c>
      <c r="D6" s="2" t="str">
        <f>"0.711**"</f>
        <v>0.711**</v>
      </c>
      <c r="E6" s="2" t="str">
        <f>"0.725**"</f>
        <v>0.725**</v>
      </c>
      <c r="F6" s="2" t="str">
        <f>"0.719**"</f>
        <v>0.719**</v>
      </c>
      <c r="G6" s="2" t="str">
        <f>"0.731**"</f>
        <v>0.731**</v>
      </c>
      <c r="H6" s="2" t="str">
        <f>"0.718**"</f>
        <v>0.718**</v>
      </c>
      <c r="I6" s="2" t="str">
        <f>"0.736**"</f>
        <v>0.736**</v>
      </c>
      <c r="J6" s="3" t="str">
        <f>"0.717**"</f>
        <v>0.717**</v>
      </c>
      <c r="K6" s="3" t="str">
        <f>"0.793**"</f>
        <v>0.793**</v>
      </c>
      <c r="L6" s="3" t="str">
        <f>"0.720**"</f>
        <v>0.720**</v>
      </c>
      <c r="M6" s="3" t="str">
        <f>"0.783**"</f>
        <v>0.783**</v>
      </c>
      <c r="N6" t="str">
        <f>"0.730**"</f>
        <v>0.730**</v>
      </c>
      <c r="O6" t="str">
        <f>"0.715**"</f>
        <v>0.715**</v>
      </c>
      <c r="P6" t="str">
        <f>"0.732**"</f>
        <v>0.732**</v>
      </c>
      <c r="Q6" t="str">
        <f>"0.707**"</f>
        <v>0.707**</v>
      </c>
      <c r="R6" t="str">
        <f>"0.731**"</f>
        <v>0.731**</v>
      </c>
      <c r="S6" t="str">
        <f>"0.709**"</f>
        <v>0.709**</v>
      </c>
      <c r="T6" t="str">
        <f>"0.711**"</f>
        <v>0.711**</v>
      </c>
      <c r="U6" t="str">
        <f>"0.732**"</f>
        <v>0.732**</v>
      </c>
      <c r="V6" s="4" t="str">
        <f>"0.717**"</f>
        <v>0.717**</v>
      </c>
      <c r="W6" s="4" t="str">
        <f>"0.764**"</f>
        <v>0.764**</v>
      </c>
      <c r="X6" s="2" t="str">
        <f>"0.721**"</f>
        <v>0.721**</v>
      </c>
      <c r="Y6" s="2" t="str">
        <f>"0.736**"</f>
        <v>0.736**</v>
      </c>
      <c r="Z6" s="2" t="str">
        <f>"0.720**"</f>
        <v>0.720**</v>
      </c>
      <c r="AA6" s="2" t="str">
        <f>"0.739**"</f>
        <v>0.739**</v>
      </c>
      <c r="AB6" s="2" t="str">
        <f>"0.718**"</f>
        <v>0.718**</v>
      </c>
      <c r="AC6" s="2" t="str">
        <f>"0.741**"</f>
        <v>0.741**</v>
      </c>
      <c r="AD6" s="4" t="str">
        <f>"0.717**"</f>
        <v>0.717**</v>
      </c>
      <c r="AE6" s="4" t="str">
        <f>"0.758**"</f>
        <v>0.758**</v>
      </c>
      <c r="AF6" s="2" t="str">
        <f>"0.717**"</f>
        <v>0.717**</v>
      </c>
      <c r="AG6" s="2" t="str">
        <f>"0.741**"</f>
        <v>0.741**</v>
      </c>
      <c r="AH6" s="3" t="str">
        <f>"0.719**"</f>
        <v>0.719**</v>
      </c>
      <c r="AI6" s="3" t="str">
        <f>"0.742**"</f>
        <v>0.742**</v>
      </c>
      <c r="AJ6" s="6" t="str">
        <f>"0.718**"</f>
        <v>0.718**</v>
      </c>
      <c r="AK6" s="6" t="str">
        <f>"0.754**"</f>
        <v>0.754**</v>
      </c>
    </row>
    <row r="7" spans="1:37" x14ac:dyDescent="0.6">
      <c r="A7" t="str">
        <f>""</f>
        <v/>
      </c>
      <c r="B7" s="2" t="str">
        <f>"(0.009)"</f>
        <v>(0.009)</v>
      </c>
      <c r="C7" s="2" t="str">
        <f>"(0.016)"</f>
        <v>(0.016)</v>
      </c>
      <c r="D7" s="2" t="str">
        <f>"(0.018)"</f>
        <v>(0.018)</v>
      </c>
      <c r="E7" s="2" t="str">
        <f>"(0.008)"</f>
        <v>(0.008)</v>
      </c>
      <c r="F7" s="2" t="str">
        <f>"(0.008)"</f>
        <v>(0.008)</v>
      </c>
      <c r="G7" s="2" t="str">
        <f>"(0.016)"</f>
        <v>(0.016)</v>
      </c>
      <c r="H7" s="2" t="str">
        <f>"(0.010)"</f>
        <v>(0.010)</v>
      </c>
      <c r="I7" s="2" t="str">
        <f>"(0.016)"</f>
        <v>(0.016)</v>
      </c>
      <c r="J7" s="3" t="str">
        <f>"(0.008)"</f>
        <v>(0.008)</v>
      </c>
      <c r="K7" s="3" t="str">
        <f>"(0.027)"</f>
        <v>(0.027)</v>
      </c>
      <c r="L7" s="3" t="str">
        <f>"(0.008)"</f>
        <v>(0.008)</v>
      </c>
      <c r="M7" s="3" t="str">
        <f>"(0.050)"</f>
        <v>(0.050)</v>
      </c>
      <c r="N7" t="str">
        <f>"(0.012)"</f>
        <v>(0.012)</v>
      </c>
      <c r="O7" t="str">
        <f>"(0.010)"</f>
        <v>(0.010)</v>
      </c>
      <c r="P7" t="str">
        <f>"(0.011)"</f>
        <v>(0.011)</v>
      </c>
      <c r="Q7" t="str">
        <f>"(0.013)"</f>
        <v>(0.013)</v>
      </c>
      <c r="R7" t="str">
        <f>"(0.010)"</f>
        <v>(0.010)</v>
      </c>
      <c r="S7" t="str">
        <f>"(0.013)"</f>
        <v>(0.013)</v>
      </c>
      <c r="T7" t="str">
        <f>"(0.010)"</f>
        <v>(0.010)</v>
      </c>
      <c r="U7" t="str">
        <f>"(0.013)"</f>
        <v>(0.013)</v>
      </c>
      <c r="V7" s="4" t="str">
        <f>"(0.008)"</f>
        <v>(0.008)</v>
      </c>
      <c r="W7" s="4" t="str">
        <f>"(0.020)"</f>
        <v>(0.020)</v>
      </c>
      <c r="X7" s="2" t="str">
        <f>"(0.008)"</f>
        <v>(0.008)</v>
      </c>
      <c r="Y7" s="2" t="str">
        <f>"(0.028)"</f>
        <v>(0.028)</v>
      </c>
      <c r="Z7" s="2" t="str">
        <f>"(0.008)"</f>
        <v>(0.008)</v>
      </c>
      <c r="AA7" s="2" t="str">
        <f>"(0.030)"</f>
        <v>(0.030)</v>
      </c>
      <c r="AB7" s="2" t="str">
        <f>"(0.009)"</f>
        <v>(0.009)</v>
      </c>
      <c r="AC7" s="2" t="str">
        <f>"(0.016)"</f>
        <v>(0.016)</v>
      </c>
      <c r="AD7" s="4" t="str">
        <f>"(0.009)"</f>
        <v>(0.009)</v>
      </c>
      <c r="AE7" s="4" t="str">
        <f>"(0.023)"</f>
        <v>(0.023)</v>
      </c>
      <c r="AF7" s="2" t="str">
        <f>"(0.009)"</f>
        <v>(0.009)</v>
      </c>
      <c r="AG7" s="2" t="str">
        <f>"(0.017)"</f>
        <v>(0.017)</v>
      </c>
      <c r="AH7" s="3" t="str">
        <f>"(0.008)"</f>
        <v>(0.008)</v>
      </c>
      <c r="AI7" s="3" t="str">
        <f>"(0.019)"</f>
        <v>(0.019)</v>
      </c>
      <c r="AJ7" s="6" t="str">
        <f>"(0.009)"</f>
        <v>(0.009)</v>
      </c>
      <c r="AK7" s="6" t="str">
        <f>"(0.022)"</f>
        <v>(0.022)</v>
      </c>
    </row>
    <row r="8" spans="1:37" x14ac:dyDescent="0.6">
      <c r="A8" t="str">
        <f>"N"</f>
        <v>N</v>
      </c>
      <c r="B8" s="2" t="str">
        <f>"2100"</f>
        <v>2100</v>
      </c>
      <c r="C8" s="2" t="str">
        <f>"306"</f>
        <v>306</v>
      </c>
      <c r="D8" s="2" t="str">
        <f>"526"</f>
        <v>526</v>
      </c>
      <c r="E8" s="2" t="str">
        <f>"1880"</f>
        <v>1880</v>
      </c>
      <c r="F8" s="2" t="str">
        <f>"1822"</f>
        <v>1822</v>
      </c>
      <c r="G8" s="2" t="str">
        <f>"584"</f>
        <v>584</v>
      </c>
      <c r="H8" s="2" t="str">
        <f>"1940"</f>
        <v>1940</v>
      </c>
      <c r="I8" s="2" t="str">
        <f>"466"</f>
        <v>466</v>
      </c>
      <c r="J8" s="3" t="str">
        <f>"2254"</f>
        <v>2254</v>
      </c>
      <c r="K8" s="3" t="str">
        <f>"152"</f>
        <v>152</v>
      </c>
      <c r="L8" s="3" t="str">
        <f>"2332"</f>
        <v>2332</v>
      </c>
      <c r="M8" s="3" t="str">
        <f>"74"</f>
        <v>74</v>
      </c>
      <c r="N8" t="str">
        <f>"1028"</f>
        <v>1028</v>
      </c>
      <c r="O8" t="str">
        <f>"1378"</f>
        <v>1378</v>
      </c>
      <c r="P8" t="str">
        <f>"1402"</f>
        <v>1402</v>
      </c>
      <c r="Q8" t="str">
        <f>"1004"</f>
        <v>1004</v>
      </c>
      <c r="R8" t="str">
        <f>"1398"</f>
        <v>1398</v>
      </c>
      <c r="S8" t="str">
        <f>"1008"</f>
        <v>1008</v>
      </c>
      <c r="T8" t="str">
        <f>"1180"</f>
        <v>1180</v>
      </c>
      <c r="U8" t="str">
        <f>"1226"</f>
        <v>1226</v>
      </c>
      <c r="V8" s="4" t="str">
        <f>"2146"</f>
        <v>2146</v>
      </c>
      <c r="W8" s="4" t="str">
        <f>"260"</f>
        <v>260</v>
      </c>
      <c r="X8" s="2" t="str">
        <f>"2236"</f>
        <v>2236</v>
      </c>
      <c r="Y8" s="2" t="str">
        <f>"170"</f>
        <v>170</v>
      </c>
      <c r="Z8" s="2" t="str">
        <f>"2230"</f>
        <v>2230</v>
      </c>
      <c r="AA8" s="2" t="str">
        <f>"176"</f>
        <v>176</v>
      </c>
      <c r="AB8" s="2" t="str">
        <f>"1988"</f>
        <v>1988</v>
      </c>
      <c r="AC8" s="2" t="str">
        <f>"418"</f>
        <v>418</v>
      </c>
      <c r="AD8" s="4" t="str">
        <f>"2154"</f>
        <v>2154</v>
      </c>
      <c r="AE8" s="4" t="str">
        <f>"252"</f>
        <v>252</v>
      </c>
      <c r="AF8" s="2" t="str">
        <f>"1970"</f>
        <v>1970</v>
      </c>
      <c r="AG8" s="2" t="str">
        <f>"436"</f>
        <v>436</v>
      </c>
      <c r="AH8" s="3" t="str">
        <f>"2142"</f>
        <v>2142</v>
      </c>
      <c r="AI8" s="3" t="str">
        <f>"264"</f>
        <v>264</v>
      </c>
      <c r="AJ8" s="6" t="str">
        <f>"2152"</f>
        <v>2152</v>
      </c>
      <c r="AK8" s="6" t="str">
        <f>"254"</f>
        <v>254</v>
      </c>
    </row>
    <row r="9" spans="1:37" x14ac:dyDescent="0.6">
      <c r="A9" t="str">
        <f>"R-squared"</f>
        <v>R-squared</v>
      </c>
      <c r="B9" s="2" t="str">
        <f>"0.369"</f>
        <v>0.369</v>
      </c>
      <c r="C9" s="2" t="str">
        <f>"0.438"</f>
        <v>0.438</v>
      </c>
      <c r="D9" s="2" t="str">
        <f>"0.339"</f>
        <v>0.339</v>
      </c>
      <c r="E9" s="2" t="str">
        <f>"0.389"</f>
        <v>0.389</v>
      </c>
      <c r="F9" s="2" t="str">
        <f>"0.367"</f>
        <v>0.367</v>
      </c>
      <c r="G9" s="2" t="str">
        <f>"0.412"</f>
        <v>0.412</v>
      </c>
      <c r="H9" s="2" t="str">
        <f>"0.367"</f>
        <v>0.367</v>
      </c>
      <c r="I9" s="2" t="str">
        <f>"0.422"</f>
        <v>0.422</v>
      </c>
      <c r="J9" s="3" t="str">
        <f>"0.363"</f>
        <v>0.363</v>
      </c>
      <c r="K9" s="3" t="str">
        <f>"0.631"</f>
        <v>0.631</v>
      </c>
      <c r="L9" s="3" t="str">
        <f>"0.373"</f>
        <v>0.373</v>
      </c>
      <c r="M9" s="3" t="str">
        <f>"0.546"</f>
        <v>0.546</v>
      </c>
      <c r="N9" t="str">
        <f>"0.417"</f>
        <v>0.417</v>
      </c>
      <c r="O9" t="str">
        <f>"0.350"</f>
        <v>0.350</v>
      </c>
      <c r="P9" t="str">
        <f>"0.424"</f>
        <v>0.424</v>
      </c>
      <c r="Q9" t="str">
        <f>"0.320"</f>
        <v>0.320</v>
      </c>
      <c r="R9" t="str">
        <f>"0.424"</f>
        <v>0.424</v>
      </c>
      <c r="S9" t="str">
        <f>"0.321"</f>
        <v>0.321</v>
      </c>
      <c r="T9" t="str">
        <f>"0.356"</f>
        <v>0.356</v>
      </c>
      <c r="U9" t="str">
        <f>"0.398"</f>
        <v>0.398</v>
      </c>
      <c r="V9" s="4" t="str">
        <f>"0.360"</f>
        <v>0.360</v>
      </c>
      <c r="W9" s="4" t="str">
        <f>"0.542"</f>
        <v>0.542</v>
      </c>
      <c r="X9" s="2" t="str">
        <f>"0.373"</f>
        <v>0.373</v>
      </c>
      <c r="Y9" s="2" t="str">
        <f>"0.438"</f>
        <v>0.438</v>
      </c>
      <c r="Z9" s="2" t="str">
        <f>"0.374"</f>
        <v>0.374</v>
      </c>
      <c r="AA9" s="2" t="str">
        <f>"0.423"</f>
        <v>0.423</v>
      </c>
      <c r="AB9" s="2" t="str">
        <f>"0.363"</f>
        <v>0.363</v>
      </c>
      <c r="AC9" s="2" t="str">
        <f>"0.455"</f>
        <v>0.455</v>
      </c>
      <c r="AD9" s="4" t="str">
        <f>"0.366"</f>
        <v>0.366</v>
      </c>
      <c r="AE9" s="4" t="str">
        <f>"0.483"</f>
        <v>0.483</v>
      </c>
      <c r="AF9" s="2" t="str">
        <f>"0.363"</f>
        <v>0.363</v>
      </c>
      <c r="AG9" s="2" t="str">
        <f>"0.447"</f>
        <v>0.447</v>
      </c>
      <c r="AH9" s="3" t="str">
        <f>"0.372"</f>
        <v>0.372</v>
      </c>
      <c r="AI9" s="3" t="str">
        <f>"0.425"</f>
        <v>0.425</v>
      </c>
      <c r="AJ9" s="6" t="str">
        <f>"0.363"</f>
        <v>0.363</v>
      </c>
      <c r="AK9" s="6" t="str">
        <f>"0.513"</f>
        <v>0.513</v>
      </c>
    </row>
    <row r="10" spans="1:37" x14ac:dyDescent="0.6">
      <c r="A10" t="s">
        <v>19</v>
      </c>
      <c r="B10" s="6">
        <v>0.84</v>
      </c>
      <c r="C10" s="6"/>
      <c r="D10" s="6">
        <v>0.47</v>
      </c>
      <c r="E10" s="6"/>
      <c r="F10" s="6">
        <v>0.45</v>
      </c>
      <c r="G10" s="6"/>
      <c r="H10" s="6">
        <v>0.7</v>
      </c>
      <c r="I10" s="6"/>
      <c r="J10" s="3">
        <v>7.88</v>
      </c>
      <c r="K10" s="3"/>
      <c r="L10" s="3">
        <v>1.65</v>
      </c>
      <c r="M10" s="3"/>
      <c r="V10" s="4">
        <v>4.2300000000000004</v>
      </c>
      <c r="W10" s="4"/>
      <c r="X10" s="6">
        <v>0.23</v>
      </c>
      <c r="Y10" s="6"/>
      <c r="Z10" s="6">
        <v>0.35</v>
      </c>
      <c r="AA10" s="6"/>
      <c r="AB10" s="6">
        <v>1.38</v>
      </c>
      <c r="AC10" s="6"/>
      <c r="AD10" s="4">
        <v>2.36</v>
      </c>
      <c r="AE10" s="4"/>
      <c r="AF10" s="6">
        <v>1.35</v>
      </c>
      <c r="AG10" s="6"/>
      <c r="AH10" s="3">
        <v>1.1599999999999999</v>
      </c>
      <c r="AI10" s="3"/>
      <c r="AJ10" s="6">
        <v>2.1</v>
      </c>
      <c r="AK10" s="6"/>
    </row>
    <row r="11" spans="1:37" x14ac:dyDescent="0.6">
      <c r="A11" t="s">
        <v>18</v>
      </c>
      <c r="B11" s="6">
        <v>0.3604</v>
      </c>
      <c r="C11" s="6"/>
      <c r="D11" s="6">
        <v>0.49259999999999998</v>
      </c>
      <c r="E11" s="6"/>
      <c r="F11" s="6">
        <v>0.50119999999999998</v>
      </c>
      <c r="G11" s="6"/>
      <c r="H11" s="6">
        <v>0.40129999999999999</v>
      </c>
      <c r="I11" s="6"/>
      <c r="J11" s="3">
        <v>5.0000000000000001E-3</v>
      </c>
      <c r="K11" s="3"/>
      <c r="L11" s="3">
        <v>0.19950000000000001</v>
      </c>
      <c r="M11" s="3"/>
      <c r="V11" s="4">
        <v>3.9800000000000002E-2</v>
      </c>
      <c r="W11" s="4"/>
      <c r="X11" s="6">
        <v>0.63200000000000001</v>
      </c>
      <c r="Y11" s="6"/>
      <c r="Z11" s="6">
        <v>0.55310000000000004</v>
      </c>
      <c r="AA11" s="6"/>
      <c r="AB11" s="6">
        <v>0.24079999999999999</v>
      </c>
      <c r="AC11" s="6"/>
      <c r="AD11" s="4">
        <v>0.1241</v>
      </c>
      <c r="AE11" s="4"/>
      <c r="AF11" s="6">
        <v>0.24479999999999999</v>
      </c>
      <c r="AG11" s="6"/>
      <c r="AH11" s="3">
        <v>0.28120000000000001</v>
      </c>
      <c r="AI11" s="3"/>
      <c r="AJ11" s="6">
        <v>0.1477</v>
      </c>
      <c r="AK11" s="6"/>
    </row>
    <row r="12" spans="1:37" x14ac:dyDescent="0.6">
      <c r="A12" t="str">
        <f>"Standard errors in parentheses"</f>
        <v>Standard errors in parentheses</v>
      </c>
    </row>
    <row r="13" spans="1:37" x14ac:dyDescent="0.6">
      <c r="A13" t="s">
        <v>0</v>
      </c>
      <c r="B13" s="2" t="s">
        <v>1</v>
      </c>
      <c r="C13" s="2" t="s">
        <v>2</v>
      </c>
    </row>
  </sheetData>
  <mergeCells count="3">
    <mergeCell ref="B1:M1"/>
    <mergeCell ref="V1:AG1"/>
    <mergeCell ref="AH1:AK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table_bargainingCCEI_mech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Byunghun Hahn</dc:creator>
  <cp:lastModifiedBy>Byunghun Hahn</cp:lastModifiedBy>
  <dcterms:created xsi:type="dcterms:W3CDTF">2025-09-02T14:31:23Z</dcterms:created>
  <dcterms:modified xsi:type="dcterms:W3CDTF">2025-09-03T10:18:59Z</dcterms:modified>
</cp:coreProperties>
</file>