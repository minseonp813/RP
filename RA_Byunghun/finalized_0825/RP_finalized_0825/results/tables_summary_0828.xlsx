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nseonp/Library/CloudStorage/Dropbox/RP/RA_Byunghun/finalized_0825/RP_finalized_0825/results/"/>
    </mc:Choice>
  </mc:AlternateContent>
  <xr:revisionPtr revIDLastSave="0" documentId="13_ncr:1_{C81413A5-74C6-304A-8DEA-ACC7F21AFF2B}" xr6:coauthVersionLast="47" xr6:coauthVersionMax="47" xr10:uidLastSave="{00000000-0000-0000-0000-000000000000}"/>
  <bookViews>
    <workbookView xWindow="580" yWindow="980" windowWidth="25740" windowHeight="20680" activeTab="1" xr2:uid="{508DBDBB-256F-9649-BF6B-6E78DB946EE9}"/>
  </bookViews>
  <sheets>
    <sheet name="Sheet1" sheetId="1" r:id="rId1"/>
    <sheet name="table_bargainingCCEI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3" l="1"/>
  <c r="B1" i="3"/>
  <c r="C1" i="3"/>
  <c r="D1" i="3"/>
  <c r="E1" i="3"/>
  <c r="F1" i="3"/>
  <c r="A2" i="3"/>
  <c r="B2" i="3"/>
  <c r="C2" i="3"/>
  <c r="D2" i="3"/>
  <c r="E2" i="3"/>
  <c r="F2" i="3"/>
  <c r="A3" i="3"/>
  <c r="B3" i="3"/>
  <c r="C3" i="3"/>
  <c r="D3" i="3"/>
  <c r="E3" i="3"/>
  <c r="F3" i="3"/>
  <c r="A4" i="3"/>
  <c r="B4" i="3"/>
  <c r="C4" i="3"/>
  <c r="D4" i="3"/>
  <c r="E4" i="3"/>
  <c r="F4" i="3"/>
  <c r="A5" i="3"/>
  <c r="B5" i="3"/>
  <c r="C5" i="3"/>
  <c r="D5" i="3"/>
  <c r="E5" i="3"/>
  <c r="F5" i="3"/>
  <c r="A6" i="3"/>
  <c r="B6" i="3"/>
  <c r="C6" i="3"/>
  <c r="D6" i="3"/>
  <c r="E6" i="3"/>
  <c r="F6" i="3"/>
  <c r="A7" i="3"/>
  <c r="B7" i="3"/>
  <c r="C7" i="3"/>
  <c r="D7" i="3"/>
  <c r="E7" i="3"/>
  <c r="F7" i="3"/>
  <c r="A8" i="3"/>
  <c r="B8" i="3"/>
  <c r="C8" i="3"/>
  <c r="D8" i="3"/>
  <c r="E8" i="3"/>
  <c r="F8" i="3"/>
  <c r="A9" i="3"/>
  <c r="B9" i="3"/>
  <c r="C9" i="3"/>
  <c r="D9" i="3"/>
  <c r="E9" i="3"/>
  <c r="F9" i="3"/>
  <c r="A10" i="3"/>
  <c r="B10" i="3"/>
  <c r="C10" i="3"/>
  <c r="D10" i="3"/>
  <c r="E10" i="3"/>
  <c r="F10" i="3"/>
  <c r="A11" i="3"/>
  <c r="B11" i="3"/>
  <c r="C11" i="3"/>
  <c r="D11" i="3"/>
  <c r="E11" i="3"/>
  <c r="F11" i="3"/>
  <c r="A12" i="3"/>
  <c r="B12" i="3"/>
  <c r="C12" i="3"/>
  <c r="D12" i="3"/>
  <c r="E12" i="3"/>
  <c r="F12" i="3"/>
  <c r="A13" i="3"/>
  <c r="B13" i="3"/>
  <c r="C13" i="3"/>
  <c r="D13" i="3"/>
  <c r="E13" i="3"/>
  <c r="F13" i="3"/>
  <c r="A14" i="3"/>
  <c r="B14" i="3"/>
  <c r="C14" i="3"/>
  <c r="D14" i="3"/>
  <c r="E14" i="3"/>
  <c r="F14" i="3"/>
  <c r="A15" i="3"/>
  <c r="B15" i="3"/>
  <c r="C15" i="3"/>
  <c r="D15" i="3"/>
  <c r="E15" i="3"/>
  <c r="F15" i="3"/>
  <c r="A16" i="3"/>
  <c r="B16" i="3"/>
  <c r="C16" i="3"/>
  <c r="D16" i="3"/>
  <c r="E16" i="3"/>
  <c r="F16" i="3"/>
  <c r="A17" i="3"/>
  <c r="B17" i="3"/>
  <c r="C17" i="3"/>
  <c r="D17" i="3"/>
  <c r="E17" i="3"/>
  <c r="F17" i="3"/>
  <c r="A18" i="3"/>
  <c r="B18" i="3"/>
  <c r="C18" i="3"/>
  <c r="D18" i="3"/>
  <c r="E18" i="3"/>
  <c r="F18" i="3"/>
  <c r="A19" i="3"/>
  <c r="B19" i="3"/>
  <c r="C19" i="3"/>
  <c r="D19" i="3"/>
  <c r="E19" i="3"/>
  <c r="F19" i="3"/>
  <c r="A20" i="3"/>
  <c r="B20" i="3"/>
  <c r="C20" i="3"/>
  <c r="D20" i="3"/>
  <c r="E20" i="3"/>
  <c r="F20" i="3"/>
  <c r="A21" i="3"/>
  <c r="B21" i="3"/>
  <c r="C21" i="3"/>
  <c r="D21" i="3"/>
  <c r="E21" i="3"/>
  <c r="F21" i="3"/>
  <c r="A22" i="3"/>
  <c r="B22" i="3"/>
  <c r="C22" i="3"/>
  <c r="D22" i="3"/>
  <c r="E22" i="3"/>
  <c r="F22" i="3"/>
  <c r="A23" i="3"/>
  <c r="B23" i="3"/>
  <c r="C23" i="3"/>
  <c r="D23" i="3"/>
  <c r="E23" i="3"/>
  <c r="F23" i="3"/>
  <c r="A24" i="3"/>
  <c r="B24" i="3"/>
  <c r="C24" i="3"/>
  <c r="D24" i="3"/>
  <c r="E24" i="3"/>
  <c r="F24" i="3"/>
  <c r="A25" i="3"/>
  <c r="B25" i="3"/>
  <c r="C25" i="3"/>
  <c r="D25" i="3"/>
  <c r="E25" i="3"/>
  <c r="F25" i="3"/>
  <c r="A26" i="3"/>
  <c r="B26" i="3"/>
  <c r="C26" i="3"/>
  <c r="D26" i="3"/>
  <c r="E26" i="3"/>
  <c r="F26" i="3"/>
  <c r="A27" i="3"/>
  <c r="B27" i="3"/>
  <c r="C27" i="3"/>
  <c r="D27" i="3"/>
  <c r="E27" i="3"/>
  <c r="F27" i="3"/>
  <c r="A28" i="3"/>
  <c r="B28" i="3"/>
  <c r="C28" i="3"/>
  <c r="D28" i="3"/>
  <c r="E28" i="3"/>
  <c r="F28" i="3"/>
  <c r="A29" i="3"/>
  <c r="B29" i="3"/>
  <c r="C29" i="3"/>
  <c r="D29" i="3"/>
  <c r="E29" i="3"/>
  <c r="F29" i="3"/>
  <c r="A30" i="3"/>
  <c r="B30" i="3"/>
  <c r="C30" i="3"/>
  <c r="D30" i="3"/>
  <c r="E30" i="3"/>
  <c r="F30" i="3"/>
  <c r="A31" i="3"/>
  <c r="B31" i="3"/>
  <c r="C31" i="3"/>
  <c r="D31" i="3"/>
  <c r="E31" i="3"/>
  <c r="F31" i="3"/>
  <c r="A32" i="3"/>
  <c r="B32" i="3"/>
  <c r="C32" i="3"/>
  <c r="D32" i="3"/>
  <c r="E32" i="3"/>
  <c r="F32" i="3"/>
  <c r="A33" i="3"/>
  <c r="B33" i="3"/>
  <c r="C33" i="3"/>
  <c r="D33" i="3"/>
  <c r="E33" i="3"/>
  <c r="F33" i="3"/>
  <c r="A34" i="3"/>
  <c r="B34" i="3"/>
  <c r="C34" i="3"/>
  <c r="D34" i="3"/>
  <c r="E34" i="3"/>
  <c r="F34" i="3"/>
  <c r="A35" i="3"/>
  <c r="B35" i="3"/>
  <c r="C35" i="3"/>
  <c r="D35" i="3"/>
  <c r="E35" i="3"/>
  <c r="F35" i="3"/>
  <c r="A36" i="3"/>
  <c r="B36" i="3"/>
  <c r="C36" i="3"/>
  <c r="D36" i="3"/>
  <c r="E36" i="3"/>
  <c r="F36" i="3"/>
  <c r="A37" i="3"/>
  <c r="B37" i="3"/>
  <c r="C37" i="3"/>
  <c r="D37" i="3"/>
  <c r="E37" i="3"/>
  <c r="F37" i="3"/>
  <c r="A38" i="3"/>
  <c r="B38" i="3"/>
  <c r="C38" i="3"/>
  <c r="D38" i="3"/>
  <c r="E38" i="3"/>
  <c r="F38" i="3"/>
  <c r="A39" i="3"/>
  <c r="B39" i="3"/>
  <c r="C39" i="3"/>
  <c r="D39" i="3"/>
  <c r="E39" i="3"/>
  <c r="F39" i="3"/>
  <c r="A40" i="3"/>
  <c r="B40" i="3"/>
  <c r="C40" i="3"/>
  <c r="D40" i="3"/>
  <c r="E40" i="3"/>
  <c r="F40" i="3"/>
  <c r="A41" i="3"/>
  <c r="B41" i="3"/>
  <c r="C41" i="3"/>
  <c r="D41" i="3"/>
  <c r="E41" i="3"/>
  <c r="F41" i="3"/>
  <c r="A42" i="3"/>
  <c r="B42" i="3"/>
  <c r="C42" i="3"/>
  <c r="D42" i="3"/>
  <c r="E42" i="3"/>
  <c r="F42" i="3"/>
  <c r="A43" i="3"/>
  <c r="B43" i="3"/>
  <c r="C43" i="3"/>
  <c r="D43" i="3"/>
  <c r="E43" i="3"/>
  <c r="F43" i="3"/>
  <c r="A44" i="3"/>
  <c r="B44" i="3"/>
  <c r="C44" i="3"/>
  <c r="D44" i="3"/>
  <c r="E44" i="3"/>
  <c r="F44" i="3"/>
  <c r="A45" i="3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M18" i="1"/>
  <c r="L18" i="1"/>
  <c r="K18" i="1"/>
  <c r="J18" i="1"/>
  <c r="I18" i="1"/>
  <c r="H18" i="1"/>
  <c r="M17" i="1"/>
  <c r="L17" i="1"/>
  <c r="K17" i="1"/>
  <c r="J17" i="1"/>
  <c r="I17" i="1"/>
  <c r="H17" i="1"/>
  <c r="M16" i="1"/>
  <c r="L16" i="1"/>
  <c r="K16" i="1"/>
  <c r="J16" i="1"/>
  <c r="I16" i="1"/>
  <c r="H16" i="1"/>
  <c r="M15" i="1"/>
  <c r="L15" i="1"/>
  <c r="K15" i="1"/>
  <c r="J15" i="1"/>
  <c r="I15" i="1"/>
  <c r="H15" i="1"/>
  <c r="M14" i="1"/>
  <c r="L14" i="1"/>
  <c r="K14" i="1"/>
  <c r="J14" i="1"/>
  <c r="I14" i="1"/>
  <c r="H14" i="1"/>
  <c r="M13" i="1"/>
  <c r="L13" i="1"/>
  <c r="K13" i="1"/>
  <c r="J13" i="1"/>
  <c r="I13" i="1"/>
  <c r="H13" i="1"/>
  <c r="M12" i="1"/>
  <c r="L12" i="1"/>
  <c r="K12" i="1"/>
  <c r="J12" i="1"/>
  <c r="I12" i="1"/>
  <c r="H12" i="1"/>
  <c r="M11" i="1"/>
  <c r="L11" i="1"/>
  <c r="K11" i="1"/>
  <c r="J11" i="1"/>
  <c r="I11" i="1"/>
  <c r="H11" i="1"/>
  <c r="M10" i="1"/>
  <c r="L10" i="1"/>
  <c r="K10" i="1"/>
  <c r="J10" i="1"/>
  <c r="I10" i="1"/>
  <c r="H10" i="1"/>
  <c r="M9" i="1"/>
  <c r="L9" i="1"/>
  <c r="K9" i="1"/>
  <c r="J9" i="1"/>
  <c r="I9" i="1"/>
  <c r="H9" i="1"/>
  <c r="M8" i="1"/>
  <c r="L8" i="1"/>
  <c r="K8" i="1"/>
  <c r="J8" i="1"/>
  <c r="I8" i="1"/>
  <c r="H8" i="1"/>
  <c r="M7" i="1"/>
  <c r="L7" i="1"/>
  <c r="K7" i="1"/>
  <c r="J7" i="1"/>
  <c r="I7" i="1"/>
  <c r="H7" i="1"/>
  <c r="M6" i="1"/>
  <c r="L6" i="1"/>
  <c r="K6" i="1"/>
  <c r="J6" i="1"/>
  <c r="I6" i="1"/>
  <c r="H6" i="1"/>
  <c r="M5" i="1"/>
  <c r="L5" i="1"/>
  <c r="K5" i="1"/>
  <c r="J5" i="1"/>
  <c r="I5" i="1"/>
  <c r="H5" i="1"/>
  <c r="M4" i="1"/>
  <c r="L4" i="1"/>
  <c r="K4" i="1"/>
  <c r="J4" i="1"/>
  <c r="I4" i="1"/>
  <c r="H4" i="1"/>
  <c r="M3" i="1"/>
  <c r="L3" i="1"/>
  <c r="K3" i="1"/>
  <c r="J3" i="1"/>
  <c r="I3" i="1"/>
  <c r="H3" i="1"/>
  <c r="E26" i="1"/>
  <c r="D26" i="1"/>
  <c r="C26" i="1"/>
  <c r="B26" i="1"/>
  <c r="A26" i="1"/>
  <c r="E25" i="1"/>
  <c r="D25" i="1"/>
  <c r="C25" i="1"/>
  <c r="B25" i="1"/>
  <c r="A25" i="1"/>
  <c r="E24" i="1"/>
  <c r="D24" i="1"/>
  <c r="C24" i="1"/>
  <c r="B24" i="1"/>
  <c r="A24" i="1"/>
  <c r="E23" i="1"/>
  <c r="D23" i="1"/>
  <c r="C23" i="1"/>
  <c r="B23" i="1"/>
  <c r="A23" i="1"/>
  <c r="E22" i="1"/>
  <c r="D22" i="1"/>
  <c r="C22" i="1"/>
  <c r="B22" i="1"/>
  <c r="A22" i="1"/>
  <c r="E21" i="1"/>
  <c r="D21" i="1"/>
  <c r="C21" i="1"/>
  <c r="B21" i="1"/>
  <c r="A21" i="1"/>
  <c r="E20" i="1"/>
  <c r="D20" i="1"/>
  <c r="C20" i="1"/>
  <c r="B20" i="1"/>
  <c r="A20" i="1"/>
  <c r="E19" i="1"/>
  <c r="D19" i="1"/>
  <c r="C19" i="1"/>
  <c r="B19" i="1"/>
  <c r="A19" i="1"/>
  <c r="E18" i="1"/>
  <c r="D18" i="1"/>
  <c r="C18" i="1"/>
  <c r="B18" i="1"/>
  <c r="A18" i="1"/>
  <c r="E17" i="1"/>
  <c r="D17" i="1"/>
  <c r="C17" i="1"/>
  <c r="B17" i="1"/>
  <c r="A17" i="1"/>
  <c r="E16" i="1"/>
  <c r="D16" i="1"/>
  <c r="C16" i="1"/>
  <c r="B16" i="1"/>
  <c r="A16" i="1"/>
  <c r="E15" i="1"/>
  <c r="D15" i="1"/>
  <c r="C15" i="1"/>
  <c r="B15" i="1"/>
  <c r="A15" i="1"/>
  <c r="E14" i="1"/>
  <c r="D14" i="1"/>
  <c r="C14" i="1"/>
  <c r="B14" i="1"/>
  <c r="A14" i="1"/>
  <c r="E13" i="1"/>
  <c r="D13" i="1"/>
  <c r="C13" i="1"/>
  <c r="B13" i="1"/>
  <c r="A13" i="1"/>
  <c r="E12" i="1"/>
  <c r="D12" i="1"/>
  <c r="C12" i="1"/>
  <c r="B12" i="1"/>
  <c r="A12" i="1"/>
  <c r="E11" i="1"/>
  <c r="D11" i="1"/>
  <c r="C11" i="1"/>
  <c r="B11" i="1"/>
  <c r="A11" i="1"/>
  <c r="E10" i="1"/>
  <c r="D10" i="1"/>
  <c r="C10" i="1"/>
  <c r="B10" i="1"/>
  <c r="A10" i="1"/>
  <c r="E9" i="1"/>
  <c r="D9" i="1"/>
  <c r="C9" i="1"/>
  <c r="B9" i="1"/>
  <c r="A9" i="1"/>
  <c r="E8" i="1"/>
  <c r="D8" i="1"/>
  <c r="C8" i="1"/>
  <c r="B8" i="1"/>
  <c r="A8" i="1"/>
  <c r="E7" i="1"/>
  <c r="D7" i="1"/>
  <c r="C7" i="1"/>
  <c r="B7" i="1"/>
  <c r="A7" i="1"/>
  <c r="E6" i="1"/>
  <c r="D6" i="1"/>
  <c r="C6" i="1"/>
  <c r="B6" i="1"/>
  <c r="A6" i="1"/>
  <c r="E5" i="1"/>
  <c r="D5" i="1"/>
  <c r="C5" i="1"/>
  <c r="B5" i="1"/>
  <c r="A5" i="1"/>
  <c r="E4" i="1"/>
  <c r="D4" i="1"/>
  <c r="C4" i="1"/>
  <c r="B4" i="1"/>
  <c r="A4" i="1"/>
  <c r="E3" i="1"/>
  <c r="D3" i="1"/>
  <c r="C3" i="1"/>
  <c r="B3" i="1"/>
  <c r="A3" i="1"/>
</calcChain>
</file>

<file path=xl/sharedStrings.xml><?xml version="1.0" encoding="utf-8"?>
<sst xmlns="http://schemas.openxmlformats.org/spreadsheetml/2006/main" count="8" uniqueCount="7">
  <si>
    <t>="+ p&lt;0.1</t>
  </si>
  <si>
    <t xml:space="preserve"> * p&lt;0.05</t>
  </si>
  <si>
    <t xml:space="preserve"> ** p&lt;0.01"</t>
  </si>
  <si>
    <t>"</t>
  </si>
  <si>
    <t>Shapley</t>
  </si>
  <si>
    <t>Table 2</t>
  </si>
  <si>
    <t>Table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</si>
</sst>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D6842-E8DA-6642-89DA-0924E0B37650}">
  <dimension ref="A1:M26"/>
  <sheetViews>
    <sheetView zoomScale="168" workbookViewId="0">
      <selection activeCell="D14" sqref="D14"/>
    </sheetView>
  </sheetViews>
  <sheetFormatPr baseColWidth="10" defaultRowHeight="16" x14ac:dyDescent="0.2"/>
  <cols>
    <col min="1" max="1" width="14" bestFit="1" customWidth="1"/>
    <col min="2" max="3" width="8.33203125" style="1" bestFit="1" customWidth="1"/>
    <col min="4" max="4" width="7.33203125" style="1" bestFit="1" customWidth="1"/>
    <col min="5" max="6" width="8.33203125" style="1" bestFit="1" customWidth="1"/>
    <col min="7" max="7" width="1.83203125" bestFit="1" customWidth="1"/>
    <col min="8" max="8" width="14" bestFit="1" customWidth="1"/>
    <col min="9" max="13" width="9" style="1" bestFit="1" customWidth="1"/>
  </cols>
  <sheetData>
    <row r="1" spans="1:13" x14ac:dyDescent="0.2">
      <c r="A1" s="2" t="s">
        <v>5</v>
      </c>
      <c r="B1" s="2"/>
      <c r="C1" s="2"/>
      <c r="D1" s="2"/>
      <c r="E1" s="2"/>
      <c r="F1" s="2"/>
      <c r="G1" s="3"/>
      <c r="H1" s="2" t="s">
        <v>6</v>
      </c>
      <c r="I1" s="2"/>
      <c r="J1" s="2"/>
      <c r="K1" s="2"/>
      <c r="L1" s="2"/>
      <c r="M1" s="2"/>
    </row>
    <row r="2" spans="1:13" x14ac:dyDescent="0.2">
      <c r="E2" s="1" t="s">
        <v>4</v>
      </c>
      <c r="L2" s="1" t="s">
        <v>4</v>
      </c>
    </row>
    <row r="3" spans="1:13" x14ac:dyDescent="0.2">
      <c r="A3" t="str">
        <f>""</f>
        <v/>
      </c>
      <c r="B3" s="1" t="str">
        <f>"(1)"</f>
        <v>(1)</v>
      </c>
      <c r="C3" s="1" t="str">
        <f>"(2)"</f>
        <v>(2)</v>
      </c>
      <c r="D3" s="1" t="str">
        <f>"(3)"</f>
        <v>(3)</v>
      </c>
      <c r="E3" s="1" t="str">
        <f>"(4)"</f>
        <v>(4)</v>
      </c>
      <c r="F3" s="1" t="str">
        <f>"(5)"</f>
        <v>(5)</v>
      </c>
      <c r="G3" t="s">
        <v>3</v>
      </c>
      <c r="H3" t="str">
        <f>""</f>
        <v/>
      </c>
      <c r="I3" s="1" t="str">
        <f>"(1)"</f>
        <v>(1)</v>
      </c>
      <c r="J3" s="1" t="str">
        <f>"(2)"</f>
        <v>(2)</v>
      </c>
      <c r="K3" s="1" t="str">
        <f>"(3)"</f>
        <v>(3)</v>
      </c>
      <c r="L3" s="1" t="str">
        <f>"(4)"</f>
        <v>(4)</v>
      </c>
      <c r="M3" s="1" t="str">
        <f>"(5)"</f>
        <v>(5)</v>
      </c>
    </row>
    <row r="4" spans="1:13" x14ac:dyDescent="0.2">
      <c r="A4" t="str">
        <f>""</f>
        <v/>
      </c>
      <c r="B4" s="1" t="str">
        <f>"ccei_g"</f>
        <v>ccei_g</v>
      </c>
      <c r="C4" s="1" t="str">
        <f>"ccei_g"</f>
        <v>ccei_g</v>
      </c>
      <c r="D4" s="1" t="str">
        <f>"ccei_g"</f>
        <v>ccei_g</v>
      </c>
      <c r="E4" s="1" t="str">
        <f>"ccei_g"</f>
        <v>ccei_g</v>
      </c>
      <c r="F4" s="1" t="str">
        <f>"ccei_g"</f>
        <v>ccei_g</v>
      </c>
      <c r="H4" t="str">
        <f>""</f>
        <v/>
      </c>
      <c r="I4" s="1" t="str">
        <f>"new2_I_ig"</f>
        <v>new2_I_ig</v>
      </c>
      <c r="J4" s="1" t="str">
        <f>"new2_I_ig"</f>
        <v>new2_I_ig</v>
      </c>
      <c r="K4" s="1" t="str">
        <f>"new2_I_ig"</f>
        <v>new2_I_ig</v>
      </c>
      <c r="L4" s="1" t="str">
        <f>"new2_I_ig"</f>
        <v>new2_I_ig</v>
      </c>
      <c r="M4" s="1" t="str">
        <f>"new2_I_ig"</f>
        <v>new2_I_ig</v>
      </c>
    </row>
    <row r="5" spans="1:13" x14ac:dyDescent="0.2">
      <c r="A5" t="str">
        <f>"ccei_max"</f>
        <v>ccei_max</v>
      </c>
      <c r="B5" s="1" t="str">
        <f>"0.362**"</f>
        <v>0.362**</v>
      </c>
      <c r="C5" s="1" t="str">
        <f>"0.350**"</f>
        <v>0.350**</v>
      </c>
      <c r="D5" s="1" t="str">
        <f>""</f>
        <v/>
      </c>
      <c r="E5" s="1" t="str">
        <f>"0.324**"</f>
        <v>0.324**</v>
      </c>
      <c r="F5" s="1" t="str">
        <f>"0.242*"</f>
        <v>0.242*</v>
      </c>
      <c r="H5" t="str">
        <f>"HighCCEI"</f>
        <v>HighCCEI</v>
      </c>
      <c r="I5" s="1" t="str">
        <f>"-0.443**"</f>
        <v>-0.443**</v>
      </c>
      <c r="J5" s="1" t="str">
        <f>"-0.412**"</f>
        <v>-0.412**</v>
      </c>
      <c r="K5" s="1" t="str">
        <f>""</f>
        <v/>
      </c>
      <c r="L5" s="1" t="str">
        <f>"-0.407**"</f>
        <v>-0.407**</v>
      </c>
      <c r="M5" s="1" t="str">
        <f>"-0.403**"</f>
        <v>-0.403**</v>
      </c>
    </row>
    <row r="6" spans="1:13" x14ac:dyDescent="0.2">
      <c r="A6" t="str">
        <f>""</f>
        <v/>
      </c>
      <c r="B6" s="1" t="str">
        <f>"(0.083)"</f>
        <v>(0.083)</v>
      </c>
      <c r="C6" s="1" t="str">
        <f>"(0.099)"</f>
        <v>(0.099)</v>
      </c>
      <c r="D6" s="1" t="str">
        <f>""</f>
        <v/>
      </c>
      <c r="E6" s="1" t="str">
        <f>"(0.095)"</f>
        <v>(0.095)</v>
      </c>
      <c r="F6" s="1" t="str">
        <f>"(0.106)"</f>
        <v>(0.106)</v>
      </c>
      <c r="H6" t="str">
        <f>""</f>
        <v/>
      </c>
      <c r="I6" s="1" t="str">
        <f>"(0.015)"</f>
        <v>(0.015)</v>
      </c>
      <c r="J6" s="1" t="str">
        <f>"(0.024)"</f>
        <v>(0.024)</v>
      </c>
      <c r="K6" s="1" t="str">
        <f>""</f>
        <v/>
      </c>
      <c r="L6" s="1" t="str">
        <f>"(0.023)"</f>
        <v>(0.023)</v>
      </c>
      <c r="M6" s="1" t="str">
        <f>"(0.032)"</f>
        <v>(0.032)</v>
      </c>
    </row>
    <row r="7" spans="1:13" x14ac:dyDescent="0.2">
      <c r="A7" t="str">
        <f>"ccei_dist"</f>
        <v>ccei_dist</v>
      </c>
      <c r="B7" s="1" t="str">
        <f>"-0.234**"</f>
        <v>-0.234**</v>
      </c>
      <c r="C7" s="1" t="str">
        <f>"-0.271**"</f>
        <v>-0.271**</v>
      </c>
      <c r="D7" s="1" t="str">
        <f>""</f>
        <v/>
      </c>
      <c r="E7" s="1" t="str">
        <f>"-0.263**"</f>
        <v>-0.263**</v>
      </c>
      <c r="F7" s="1" t="str">
        <f>"-0.162**"</f>
        <v>-0.162**</v>
      </c>
      <c r="H7" t="str">
        <f>"post"</f>
        <v>post</v>
      </c>
      <c r="I7" s="1" t="str">
        <f>""</f>
        <v/>
      </c>
      <c r="J7" s="1" t="str">
        <f>"0.031+"</f>
        <v>0.031+</v>
      </c>
      <c r="K7" s="1" t="str">
        <f>""</f>
        <v/>
      </c>
      <c r="L7" s="1" t="str">
        <f>"0.030+"</f>
        <v>0.030+</v>
      </c>
      <c r="M7" s="1" t="str">
        <f>"0.018"</f>
        <v>0.018</v>
      </c>
    </row>
    <row r="8" spans="1:13" x14ac:dyDescent="0.2">
      <c r="A8" t="str">
        <f>""</f>
        <v/>
      </c>
      <c r="B8" s="1" t="str">
        <f>"(0.046)"</f>
        <v>(0.046)</v>
      </c>
      <c r="C8" s="1" t="str">
        <f>"(0.058)"</f>
        <v>(0.058)</v>
      </c>
      <c r="D8" s="1" t="str">
        <f>""</f>
        <v/>
      </c>
      <c r="E8" s="1" t="str">
        <f>"(0.058)"</f>
        <v>(0.058)</v>
      </c>
      <c r="F8" s="1" t="str">
        <f>"(0.044)"</f>
        <v>(0.044)</v>
      </c>
      <c r="H8" t="str">
        <f>""</f>
        <v/>
      </c>
      <c r="I8" s="1" t="str">
        <f>""</f>
        <v/>
      </c>
      <c r="J8" s="1" t="str">
        <f>"(0.018)"</f>
        <v>(0.018)</v>
      </c>
      <c r="K8" s="1" t="str">
        <f>""</f>
        <v/>
      </c>
      <c r="L8" s="1" t="str">
        <f>"(0.018)"</f>
        <v>(0.018)</v>
      </c>
      <c r="M8" s="1" t="str">
        <f>"(0.023)"</f>
        <v>(0.023)</v>
      </c>
    </row>
    <row r="9" spans="1:13" x14ac:dyDescent="0.2">
      <c r="A9" t="str">
        <f>"endline"</f>
        <v>endline</v>
      </c>
      <c r="B9" s="1" t="str">
        <f>""</f>
        <v/>
      </c>
      <c r="C9" s="1" t="str">
        <f>"0.028"</f>
        <v>0.028</v>
      </c>
      <c r="D9" s="1" t="str">
        <f>""</f>
        <v/>
      </c>
      <c r="E9" s="1" t="str">
        <f>"-0.010"</f>
        <v>-0.010</v>
      </c>
      <c r="F9" s="1" t="str">
        <f>""</f>
        <v/>
      </c>
      <c r="H9" t="str">
        <f>"HighCCEI_post"</f>
        <v>HighCCEI_post</v>
      </c>
      <c r="I9" s="1" t="str">
        <f>""</f>
        <v/>
      </c>
      <c r="J9" s="1" t="str">
        <f>"-0.062+"</f>
        <v>-0.062+</v>
      </c>
      <c r="K9" s="1" t="str">
        <f>""</f>
        <v/>
      </c>
      <c r="L9" s="1" t="str">
        <f>"-0.060+"</f>
        <v>-0.060+</v>
      </c>
      <c r="M9" s="1" t="str">
        <f>"-0.036"</f>
        <v>-0.036</v>
      </c>
    </row>
    <row r="10" spans="1:13" x14ac:dyDescent="0.2">
      <c r="A10" t="str">
        <f>""</f>
        <v/>
      </c>
      <c r="B10" s="1" t="str">
        <f>""</f>
        <v/>
      </c>
      <c r="C10" s="1" t="str">
        <f>"(0.186)"</f>
        <v>(0.186)</v>
      </c>
      <c r="D10" s="1" t="str">
        <f>""</f>
        <v/>
      </c>
      <c r="E10" s="1" t="str">
        <f>"(0.187)"</f>
        <v>(0.187)</v>
      </c>
      <c r="F10" s="1" t="str">
        <f>""</f>
        <v/>
      </c>
      <c r="H10" t="str">
        <f>""</f>
        <v/>
      </c>
      <c r="I10" s="1" t="str">
        <f>""</f>
        <v/>
      </c>
      <c r="J10" s="1" t="str">
        <f>"(0.036)"</f>
        <v>(0.036)</v>
      </c>
      <c r="K10" s="1" t="str">
        <f>""</f>
        <v/>
      </c>
      <c r="L10" s="1" t="str">
        <f>"(0.036)"</f>
        <v>(0.036)</v>
      </c>
      <c r="M10" s="1" t="str">
        <f>"(0.046)"</f>
        <v>(0.046)</v>
      </c>
    </row>
    <row r="11" spans="1:13" x14ac:dyDescent="0.2">
      <c r="A11" t="str">
        <f>"end_max"</f>
        <v>end_max</v>
      </c>
      <c r="B11" s="1" t="str">
        <f>""</f>
        <v/>
      </c>
      <c r="C11" s="1" t="str">
        <f>"-0.027"</f>
        <v>-0.027</v>
      </c>
      <c r="D11" s="1" t="str">
        <f>""</f>
        <v/>
      </c>
      <c r="E11" s="1" t="str">
        <f>"0.012"</f>
        <v>0.012</v>
      </c>
      <c r="F11" s="1" t="str">
        <f>""</f>
        <v/>
      </c>
      <c r="H11" t="str">
        <f>"math_diff"</f>
        <v>math_diff</v>
      </c>
      <c r="I11" s="1" t="str">
        <f>""</f>
        <v/>
      </c>
      <c r="J11" s="1" t="str">
        <f>""</f>
        <v/>
      </c>
      <c r="K11" s="1" t="str">
        <f>"-0.020**"</f>
        <v>-0.020**</v>
      </c>
      <c r="L11" s="1" t="str">
        <f>"-0.012*"</f>
        <v>-0.012*</v>
      </c>
      <c r="M11" s="1" t="str">
        <f>"-0.001"</f>
        <v>-0.001</v>
      </c>
    </row>
    <row r="12" spans="1:13" x14ac:dyDescent="0.2">
      <c r="A12" t="str">
        <f>""</f>
        <v/>
      </c>
      <c r="B12" s="1" t="str">
        <f>""</f>
        <v/>
      </c>
      <c r="C12" s="1" t="str">
        <f>"(0.187)"</f>
        <v>(0.187)</v>
      </c>
      <c r="D12" s="1" t="str">
        <f>""</f>
        <v/>
      </c>
      <c r="E12" s="1" t="str">
        <f>"(0.189)"</f>
        <v>(0.189)</v>
      </c>
      <c r="F12" s="1" t="str">
        <f>""</f>
        <v/>
      </c>
      <c r="H12" t="str">
        <f>""</f>
        <v/>
      </c>
      <c r="I12" s="1" t="str">
        <f>""</f>
        <v/>
      </c>
      <c r="J12" s="1" t="str">
        <f>""</f>
        <v/>
      </c>
      <c r="K12" s="1" t="str">
        <f>"(0.006)"</f>
        <v>(0.006)</v>
      </c>
      <c r="L12" s="1" t="str">
        <f>"(0.005)"</f>
        <v>(0.005)</v>
      </c>
      <c r="M12" s="1" t="str">
        <f>"(0.007)"</f>
        <v>(0.007)</v>
      </c>
    </row>
    <row r="13" spans="1:13" x14ac:dyDescent="0.2">
      <c r="A13" t="str">
        <f>"end_dist"</f>
        <v>end_dist</v>
      </c>
      <c r="B13" s="1" t="str">
        <f>""</f>
        <v/>
      </c>
      <c r="C13" s="1" t="str">
        <f>"0.078"</f>
        <v>0.078</v>
      </c>
      <c r="D13" s="1" t="str">
        <f>""</f>
        <v/>
      </c>
      <c r="E13" s="1" t="str">
        <f>"0.075"</f>
        <v>0.075</v>
      </c>
      <c r="F13" s="1" t="str">
        <f>""</f>
        <v/>
      </c>
      <c r="H13" t="str">
        <f>"inclass_n_diff"</f>
        <v>inclass_n_diff</v>
      </c>
      <c r="I13" s="1" t="str">
        <f>""</f>
        <v/>
      </c>
      <c r="J13" s="1" t="str">
        <f>""</f>
        <v/>
      </c>
      <c r="K13" s="1" t="str">
        <f>"-0.001"</f>
        <v>-0.001</v>
      </c>
      <c r="L13" s="1" t="str">
        <f>"0.004+"</f>
        <v>0.004+</v>
      </c>
      <c r="M13" s="1" t="str">
        <f>"-0.007"</f>
        <v>-0.007</v>
      </c>
    </row>
    <row r="14" spans="1:13" x14ac:dyDescent="0.2">
      <c r="A14" t="str">
        <f>""</f>
        <v/>
      </c>
      <c r="B14" s="1" t="str">
        <f>""</f>
        <v/>
      </c>
      <c r="C14" s="1" t="str">
        <f>"(0.074)"</f>
        <v>(0.074)</v>
      </c>
      <c r="D14" s="1" t="str">
        <f>""</f>
        <v/>
      </c>
      <c r="E14" s="1" t="str">
        <f>"(0.075)"</f>
        <v>(0.075)</v>
      </c>
      <c r="F14" s="1" t="str">
        <f>""</f>
        <v/>
      </c>
      <c r="H14" t="str">
        <f>""</f>
        <v/>
      </c>
      <c r="I14" s="1" t="str">
        <f>""</f>
        <v/>
      </c>
      <c r="J14" s="1" t="str">
        <f>""</f>
        <v/>
      </c>
      <c r="K14" s="1" t="str">
        <f>"(0.003)"</f>
        <v>(0.003)</v>
      </c>
      <c r="L14" s="1" t="str">
        <f>"(0.003)"</f>
        <v>(0.003)</v>
      </c>
      <c r="M14" s="1" t="str">
        <f>"(0.004)"</f>
        <v>(0.004)</v>
      </c>
    </row>
    <row r="15" spans="1:13" x14ac:dyDescent="0.2">
      <c r="A15" t="str">
        <f>"mathscore_max"</f>
        <v>mathscore_max</v>
      </c>
      <c r="B15" s="1" t="str">
        <f>""</f>
        <v/>
      </c>
      <c r="C15" s="1" t="str">
        <f>""</f>
        <v/>
      </c>
      <c r="D15" s="1" t="str">
        <f>"0.010*"</f>
        <v>0.010*</v>
      </c>
      <c r="E15" s="1" t="str">
        <f>"0.005"</f>
        <v>0.005</v>
      </c>
      <c r="F15" s="1" t="str">
        <f>"0.007"</f>
        <v>0.007</v>
      </c>
      <c r="H15" t="str">
        <f>"inclass_pop_diff"</f>
        <v>inclass_pop_diff</v>
      </c>
      <c r="I15" s="1" t="str">
        <f>""</f>
        <v/>
      </c>
      <c r="J15" s="1" t="str">
        <f>""</f>
        <v/>
      </c>
      <c r="K15" s="1" t="str">
        <f>"0.002"</f>
        <v>0.002</v>
      </c>
      <c r="L15" s="1" t="str">
        <f>"-0.001"</f>
        <v>-0.001</v>
      </c>
      <c r="M15" s="1" t="str">
        <f>"0.002"</f>
        <v>0.002</v>
      </c>
    </row>
    <row r="16" spans="1:13" x14ac:dyDescent="0.2">
      <c r="A16" t="str">
        <f>""</f>
        <v/>
      </c>
      <c r="B16" s="1" t="str">
        <f>""</f>
        <v/>
      </c>
      <c r="C16" s="1" t="str">
        <f>""</f>
        <v/>
      </c>
      <c r="D16" s="1" t="str">
        <f>"(0.004)"</f>
        <v>(0.004)</v>
      </c>
      <c r="E16" s="1" t="str">
        <f>"(0.004)"</f>
        <v>(0.004)</v>
      </c>
      <c r="F16" s="1" t="str">
        <f>"(0.006)"</f>
        <v>(0.006)</v>
      </c>
      <c r="H16" t="str">
        <f>""</f>
        <v/>
      </c>
      <c r="I16" s="1" t="str">
        <f>""</f>
        <v/>
      </c>
      <c r="J16" s="1" t="str">
        <f>""</f>
        <v/>
      </c>
      <c r="K16" s="1" t="str">
        <f>"(0.003)"</f>
        <v>(0.003)</v>
      </c>
      <c r="L16" s="1" t="str">
        <f>"(0.002)"</f>
        <v>(0.002)</v>
      </c>
      <c r="M16" s="1" t="str">
        <f>"(0.005)"</f>
        <v>(0.005)</v>
      </c>
    </row>
    <row r="17" spans="1:13" x14ac:dyDescent="0.2">
      <c r="A17" t="str">
        <f>"mathscore_dist"</f>
        <v>mathscore_dist</v>
      </c>
      <c r="B17" s="1" t="str">
        <f>""</f>
        <v/>
      </c>
      <c r="C17" s="1" t="str">
        <f>""</f>
        <v/>
      </c>
      <c r="D17" s="1" t="str">
        <f>"-0.003"</f>
        <v>-0.003</v>
      </c>
      <c r="E17" s="1" t="str">
        <f>"-0.001"</f>
        <v>-0.001</v>
      </c>
      <c r="F17" s="1" t="str">
        <f>"0.002"</f>
        <v>0.002</v>
      </c>
      <c r="H17" t="str">
        <f>"N"</f>
        <v>N</v>
      </c>
      <c r="I17" s="1" t="str">
        <f>"2406"</f>
        <v>2406</v>
      </c>
      <c r="J17" s="1" t="str">
        <f>"2406"</f>
        <v>2406</v>
      </c>
      <c r="K17" s="1" t="str">
        <f>"2406"</f>
        <v>2406</v>
      </c>
      <c r="L17" s="1" t="str">
        <f>"2406"</f>
        <v>2406</v>
      </c>
      <c r="M17" s="1" t="str">
        <f>"2228"</f>
        <v>2228</v>
      </c>
    </row>
    <row r="18" spans="1:13" x14ac:dyDescent="0.2">
      <c r="A18" t="str">
        <f>""</f>
        <v/>
      </c>
      <c r="B18" s="1" t="str">
        <f>""</f>
        <v/>
      </c>
      <c r="C18" s="1" t="str">
        <f>""</f>
        <v/>
      </c>
      <c r="D18" s="1" t="str">
        <f>"(0.003)"</f>
        <v>(0.003)</v>
      </c>
      <c r="E18" s="1" t="str">
        <f>"(0.003)"</f>
        <v>(0.003)</v>
      </c>
      <c r="F18" s="1" t="str">
        <f>"(0.005)"</f>
        <v>(0.005)</v>
      </c>
      <c r="H18" t="str">
        <f>"R-squared"</f>
        <v>R-squared</v>
      </c>
      <c r="I18" s="1" t="str">
        <f>"0.378"</f>
        <v>0.378</v>
      </c>
      <c r="J18" s="1" t="str">
        <f>"0.380"</f>
        <v>0.380</v>
      </c>
      <c r="K18" s="1" t="str">
        <f>"0.033"</f>
        <v>0.033</v>
      </c>
      <c r="L18" s="1" t="str">
        <f>"0.392"</f>
        <v>0.392</v>
      </c>
      <c r="M18" s="1" t="str">
        <f>"0.731"</f>
        <v>0.731</v>
      </c>
    </row>
    <row r="19" spans="1:13" x14ac:dyDescent="0.2">
      <c r="A19" t="str">
        <f>"0.friendship"</f>
        <v>0.friendship</v>
      </c>
      <c r="B19" s="1" t="str">
        <f>""</f>
        <v/>
      </c>
      <c r="C19" s="1" t="str">
        <f>""</f>
        <v/>
      </c>
      <c r="D19" s="1" t="str">
        <f>"0.000"</f>
        <v>0.000</v>
      </c>
      <c r="E19" s="1" t="str">
        <f>"0.000"</f>
        <v>0.000</v>
      </c>
      <c r="F19" s="1" t="str">
        <f>"0.000"</f>
        <v>0.000</v>
      </c>
    </row>
    <row r="20" spans="1:13" x14ac:dyDescent="0.2">
      <c r="A20" t="str">
        <f>""</f>
        <v/>
      </c>
      <c r="B20" s="1" t="str">
        <f>""</f>
        <v/>
      </c>
      <c r="C20" s="1" t="str">
        <f>""</f>
        <v/>
      </c>
      <c r="D20" s="1" t="str">
        <f>"(.)"</f>
        <v>(.)</v>
      </c>
      <c r="E20" s="1" t="str">
        <f>"(.)"</f>
        <v>(.)</v>
      </c>
      <c r="F20" s="1" t="str">
        <f>"(.)"</f>
        <v>(.)</v>
      </c>
    </row>
    <row r="21" spans="1:13" x14ac:dyDescent="0.2">
      <c r="A21" t="str">
        <f>"1.friendship"</f>
        <v>1.friendship</v>
      </c>
      <c r="B21" s="1" t="str">
        <f>""</f>
        <v/>
      </c>
      <c r="C21" s="1" t="str">
        <f>""</f>
        <v/>
      </c>
      <c r="D21" s="1" t="str">
        <f>"0.011"</f>
        <v>0.011</v>
      </c>
      <c r="E21" s="1" t="str">
        <f>"0.008"</f>
        <v>0.008</v>
      </c>
      <c r="F21" s="1" t="str">
        <f>"-0.008"</f>
        <v>-0.008</v>
      </c>
    </row>
    <row r="22" spans="1:13" x14ac:dyDescent="0.2">
      <c r="A22" t="str">
        <f>""</f>
        <v/>
      </c>
      <c r="B22" s="1" t="str">
        <f>""</f>
        <v/>
      </c>
      <c r="C22" s="1" t="str">
        <f>""</f>
        <v/>
      </c>
      <c r="D22" s="1" t="str">
        <f>"(0.013)"</f>
        <v>(0.013)</v>
      </c>
      <c r="E22" s="1" t="str">
        <f>"(0.012)"</f>
        <v>(0.012)</v>
      </c>
      <c r="F22" s="1" t="str">
        <f>"(0.015)"</f>
        <v>(0.015)</v>
      </c>
    </row>
    <row r="23" spans="1:13" x14ac:dyDescent="0.2">
      <c r="A23" t="str">
        <f>"2.friendship"</f>
        <v>2.friendship</v>
      </c>
      <c r="B23" s="1" t="str">
        <f>""</f>
        <v/>
      </c>
      <c r="C23" s="1" t="str">
        <f>""</f>
        <v/>
      </c>
      <c r="D23" s="1" t="str">
        <f>"-0.029+"</f>
        <v>-0.029+</v>
      </c>
      <c r="E23" s="1" t="str">
        <f>"-0.026"</f>
        <v>-0.026</v>
      </c>
      <c r="F23" s="1" t="str">
        <f>"-0.032"</f>
        <v>-0.032</v>
      </c>
    </row>
    <row r="24" spans="1:13" x14ac:dyDescent="0.2">
      <c r="A24" t="str">
        <f>""</f>
        <v/>
      </c>
      <c r="B24" s="1" t="str">
        <f>""</f>
        <v/>
      </c>
      <c r="C24" s="1" t="str">
        <f>""</f>
        <v/>
      </c>
      <c r="D24" s="1" t="str">
        <f>"(0.017)"</f>
        <v>(0.017)</v>
      </c>
      <c r="E24" s="1" t="str">
        <f>"(0.016)"</f>
        <v>(0.016)</v>
      </c>
      <c r="F24" s="1" t="str">
        <f>"(0.025)"</f>
        <v>(0.025)</v>
      </c>
    </row>
    <row r="25" spans="1:13" x14ac:dyDescent="0.2">
      <c r="A25" t="str">
        <f>"N"</f>
        <v>N</v>
      </c>
      <c r="B25" s="1" t="str">
        <f>"1304"</f>
        <v>1304</v>
      </c>
      <c r="C25" s="1" t="str">
        <f>"1304"</f>
        <v>1304</v>
      </c>
      <c r="D25" s="1" t="str">
        <f>"1304"</f>
        <v>1304</v>
      </c>
      <c r="E25" s="1" t="str">
        <f>"1304"</f>
        <v>1304</v>
      </c>
      <c r="F25" s="1" t="str">
        <f>"1304"</f>
        <v>1304</v>
      </c>
    </row>
    <row r="26" spans="1:13" x14ac:dyDescent="0.2">
      <c r="A26" t="str">
        <f>"R-squared"</f>
        <v>R-squared</v>
      </c>
      <c r="B26" s="1" t="str">
        <f>"0.166"</f>
        <v>0.166</v>
      </c>
      <c r="C26" s="1" t="str">
        <f>"0.169"</f>
        <v>0.169</v>
      </c>
      <c r="D26" s="1" t="str">
        <f>"0.124"</f>
        <v>0.124</v>
      </c>
      <c r="E26" s="1" t="str">
        <f>"0.195"</f>
        <v>0.195</v>
      </c>
      <c r="F26" s="1" t="str">
        <f>"0.639"</f>
        <v>0.639</v>
      </c>
    </row>
  </sheetData>
  <mergeCells count="2">
    <mergeCell ref="A1:F1"/>
    <mergeCell ref="H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6FE4C-2AF1-164D-8651-4B1FE72E5E97}">
  <dimension ref="A1:F46"/>
  <sheetViews>
    <sheetView tabSelected="1" workbookViewId="0">
      <selection activeCell="D17" sqref="D17"/>
    </sheetView>
  </sheetViews>
  <sheetFormatPr baseColWidth="10" defaultRowHeight="16" x14ac:dyDescent="0.2"/>
  <cols>
    <col min="2" max="6" width="10.83203125" style="1"/>
  </cols>
  <sheetData>
    <row r="1" spans="1:6" x14ac:dyDescent="0.2">
      <c r="A1" t="str">
        <f>""</f>
        <v/>
      </c>
      <c r="B1" s="1" t="str">
        <f>"(1)"</f>
        <v>(1)</v>
      </c>
      <c r="C1" s="1" t="str">
        <f>"(2)"</f>
        <v>(2)</v>
      </c>
      <c r="D1" s="1" t="str">
        <f>"(3)"</f>
        <v>(3)</v>
      </c>
      <c r="E1" s="1" t="str">
        <f>"(4)"</f>
        <v>(4)</v>
      </c>
      <c r="F1" s="1" t="str">
        <f>"(5)"</f>
        <v>(5)</v>
      </c>
    </row>
    <row r="2" spans="1:6" x14ac:dyDescent="0.2">
      <c r="A2" t="str">
        <f>""</f>
        <v/>
      </c>
      <c r="B2" s="1" t="str">
        <f>"new2_I_ig"</f>
        <v>new2_I_ig</v>
      </c>
      <c r="C2" s="1" t="str">
        <f>"new2_I_ig"</f>
        <v>new2_I_ig</v>
      </c>
      <c r="D2" s="1" t="str">
        <f>"new2_I_ig"</f>
        <v>new2_I_ig</v>
      </c>
      <c r="E2" s="1" t="str">
        <f>"new2_I_ig"</f>
        <v>new2_I_ig</v>
      </c>
      <c r="F2" s="1" t="str">
        <f>"new2_I_ig"</f>
        <v>new2_I_ig</v>
      </c>
    </row>
    <row r="3" spans="1:6" x14ac:dyDescent="0.2">
      <c r="A3" t="str">
        <f>"HighCCEI"</f>
        <v>HighCCEI</v>
      </c>
      <c r="B3" s="1" t="str">
        <f>"-0.452**"</f>
        <v>-0.452**</v>
      </c>
      <c r="C3" s="1" t="str">
        <f>"-0.421**"</f>
        <v>-0.421**</v>
      </c>
      <c r="D3" s="1" t="str">
        <f>""</f>
        <v/>
      </c>
      <c r="E3" s="1" t="str">
        <f>"-0.414**"</f>
        <v>-0.414**</v>
      </c>
      <c r="F3" s="1" t="str">
        <f>"-0.422**"</f>
        <v>-0.422**</v>
      </c>
    </row>
    <row r="4" spans="1:6" x14ac:dyDescent="0.2">
      <c r="A4" t="str">
        <f>""</f>
        <v/>
      </c>
      <c r="B4" s="1" t="str">
        <f>"(0.016)"</f>
        <v>(0.016)</v>
      </c>
      <c r="C4" s="1" t="str">
        <f>"(0.025)"</f>
        <v>(0.025)</v>
      </c>
      <c r="D4" s="1" t="str">
        <f>""</f>
        <v/>
      </c>
      <c r="E4" s="1" t="str">
        <f>"(0.024)"</f>
        <v>(0.024)</v>
      </c>
      <c r="F4" s="1" t="str">
        <f>"(0.022)"</f>
        <v>(0.022)</v>
      </c>
    </row>
    <row r="5" spans="1:6" x14ac:dyDescent="0.2">
      <c r="A5" t="str">
        <f>"post"</f>
        <v>post</v>
      </c>
      <c r="B5" s="1" t="str">
        <f>""</f>
        <v/>
      </c>
      <c r="C5" s="1" t="str">
        <f>"0.032"</f>
        <v>0.032</v>
      </c>
      <c r="D5" s="1" t="str">
        <f>""</f>
        <v/>
      </c>
      <c r="E5" s="1" t="str">
        <f>"0.031"</f>
        <v>0.031</v>
      </c>
      <c r="F5" s="1" t="str">
        <f>""</f>
        <v/>
      </c>
    </row>
    <row r="6" spans="1:6" x14ac:dyDescent="0.2">
      <c r="A6" t="str">
        <f>""</f>
        <v/>
      </c>
      <c r="B6" s="1" t="str">
        <f>""</f>
        <v/>
      </c>
      <c r="C6" s="1" t="str">
        <f>"(0.021)"</f>
        <v>(0.021)</v>
      </c>
      <c r="D6" s="1" t="str">
        <f>""</f>
        <v/>
      </c>
      <c r="E6" s="1" t="str">
        <f>"(0.020)"</f>
        <v>(0.020)</v>
      </c>
      <c r="F6" s="1" t="str">
        <f>""</f>
        <v/>
      </c>
    </row>
    <row r="7" spans="1:6" x14ac:dyDescent="0.2">
      <c r="A7" t="str">
        <f>"HighCCEI_post"</f>
        <v>HighCCEI_post</v>
      </c>
      <c r="B7" s="1" t="str">
        <f>""</f>
        <v/>
      </c>
      <c r="C7" s="1" t="str">
        <f>"-0.062+"</f>
        <v>-0.062+</v>
      </c>
      <c r="D7" s="1" t="str">
        <f>""</f>
        <v/>
      </c>
      <c r="E7" s="1" t="str">
        <f>"-0.061"</f>
        <v>-0.061</v>
      </c>
      <c r="F7" s="1" t="str">
        <f>""</f>
        <v/>
      </c>
    </row>
    <row r="8" spans="1:6" x14ac:dyDescent="0.2">
      <c r="A8" t="str">
        <f>""</f>
        <v/>
      </c>
      <c r="B8" s="1" t="str">
        <f>""</f>
        <v/>
      </c>
      <c r="C8" s="1" t="str">
        <f>"(0.037)"</f>
        <v>(0.037)</v>
      </c>
      <c r="D8" s="1" t="str">
        <f>""</f>
        <v/>
      </c>
      <c r="E8" s="1" t="str">
        <f>"(0.037)"</f>
        <v>(0.037)</v>
      </c>
      <c r="F8" s="1" t="str">
        <f>""</f>
        <v/>
      </c>
    </row>
    <row r="9" spans="1:6" x14ac:dyDescent="0.2">
      <c r="A9" t="str">
        <f>"math_diff"</f>
        <v>math_diff</v>
      </c>
      <c r="B9" s="1" t="str">
        <f>""</f>
        <v/>
      </c>
      <c r="C9" s="1" t="str">
        <f>""</f>
        <v/>
      </c>
      <c r="D9" s="1" t="str">
        <f>"-0.021**"</f>
        <v>-0.021**</v>
      </c>
      <c r="E9" s="1" t="str">
        <f>"-0.012**"</f>
        <v>-0.012**</v>
      </c>
      <c r="F9" s="1" t="str">
        <f>"-0.001"</f>
        <v>-0.001</v>
      </c>
    </row>
    <row r="10" spans="1:6" x14ac:dyDescent="0.2">
      <c r="A10" t="str">
        <f>""</f>
        <v/>
      </c>
      <c r="B10" s="1" t="str">
        <f>""</f>
        <v/>
      </c>
      <c r="C10" s="1" t="str">
        <f>""</f>
        <v/>
      </c>
      <c r="D10" s="1" t="str">
        <f>"(0.006)"</f>
        <v>(0.006)</v>
      </c>
      <c r="E10" s="1" t="str">
        <f>"(0.005)"</f>
        <v>(0.005)</v>
      </c>
      <c r="F10" s="1" t="str">
        <f>"(0.007)"</f>
        <v>(0.007)</v>
      </c>
    </row>
    <row r="11" spans="1:6" x14ac:dyDescent="0.2">
      <c r="A11" t="str">
        <f>"height_diff"</f>
        <v>height_diff</v>
      </c>
      <c r="B11" s="1" t="str">
        <f>""</f>
        <v/>
      </c>
      <c r="C11" s="1" t="str">
        <f>""</f>
        <v/>
      </c>
      <c r="D11" s="1" t="str">
        <f>"-0.001"</f>
        <v>-0.001</v>
      </c>
      <c r="E11" s="1" t="str">
        <f>"-0.000"</f>
        <v>-0.000</v>
      </c>
      <c r="F11" s="1" t="str">
        <f>"0.000"</f>
        <v>0.000</v>
      </c>
    </row>
    <row r="12" spans="1:6" x14ac:dyDescent="0.2">
      <c r="A12" t="str">
        <f>""</f>
        <v/>
      </c>
      <c r="B12" s="1" t="str">
        <f>""</f>
        <v/>
      </c>
      <c r="C12" s="1" t="str">
        <f>""</f>
        <v/>
      </c>
      <c r="D12" s="1" t="str">
        <f>"(0.001)"</f>
        <v>(0.001)</v>
      </c>
      <c r="E12" s="1" t="str">
        <f>"(0.001)"</f>
        <v>(0.001)</v>
      </c>
      <c r="F12" s="1" t="str">
        <f>"(.)"</f>
        <v>(.)</v>
      </c>
    </row>
    <row r="13" spans="1:6" x14ac:dyDescent="0.2">
      <c r="A13" t="str">
        <f>"outgoing_diff"</f>
        <v>outgoing_diff</v>
      </c>
      <c r="B13" s="1" t="str">
        <f>""</f>
        <v/>
      </c>
      <c r="C13" s="1" t="str">
        <f>""</f>
        <v/>
      </c>
      <c r="D13" s="1" t="str">
        <f>"-0.001"</f>
        <v>-0.001</v>
      </c>
      <c r="E13" s="1" t="str">
        <f>"-0.004"</f>
        <v>-0.004</v>
      </c>
      <c r="F13" s="1" t="str">
        <f>"0.000"</f>
        <v>0.000</v>
      </c>
    </row>
    <row r="14" spans="1:6" x14ac:dyDescent="0.2">
      <c r="A14" t="str">
        <f>""</f>
        <v/>
      </c>
      <c r="B14" s="1" t="str">
        <f>""</f>
        <v/>
      </c>
      <c r="C14" s="1" t="str">
        <f>""</f>
        <v/>
      </c>
      <c r="D14" s="1" t="str">
        <f>"(0.010)"</f>
        <v>(0.010)</v>
      </c>
      <c r="E14" s="1" t="str">
        <f>"(0.008)"</f>
        <v>(0.008)</v>
      </c>
      <c r="F14" s="1" t="str">
        <f>"(.)"</f>
        <v>(.)</v>
      </c>
    </row>
    <row r="15" spans="1:6" x14ac:dyDescent="0.2">
      <c r="A15" t="str">
        <f>"opened_diff"</f>
        <v>opened_diff</v>
      </c>
      <c r="B15" s="1" t="str">
        <f>""</f>
        <v/>
      </c>
      <c r="C15" s="1" t="str">
        <f>""</f>
        <v/>
      </c>
      <c r="D15" s="1" t="str">
        <f>"-0.024*"</f>
        <v>-0.024*</v>
      </c>
      <c r="E15" s="1" t="str">
        <f>"-0.015+"</f>
        <v>-0.015+</v>
      </c>
      <c r="F15" s="1" t="str">
        <f>"0.000"</f>
        <v>0.000</v>
      </c>
    </row>
    <row r="16" spans="1:6" x14ac:dyDescent="0.2">
      <c r="A16" t="str">
        <f>""</f>
        <v/>
      </c>
      <c r="B16" s="1" t="str">
        <f>""</f>
        <v/>
      </c>
      <c r="C16" s="1" t="str">
        <f>""</f>
        <v/>
      </c>
      <c r="D16" s="1" t="str">
        <f>"(0.010)"</f>
        <v>(0.010)</v>
      </c>
      <c r="E16" s="1" t="str">
        <f>"(0.008)"</f>
        <v>(0.008)</v>
      </c>
      <c r="F16" s="1" t="str">
        <f>"(.)"</f>
        <v>(.)</v>
      </c>
    </row>
    <row r="17" spans="1:6" x14ac:dyDescent="0.2">
      <c r="A17" t="str">
        <f>"agreeable_diff"</f>
        <v>agreeable_diff</v>
      </c>
      <c r="B17" s="1" t="str">
        <f>""</f>
        <v/>
      </c>
      <c r="C17" s="1" t="str">
        <f>""</f>
        <v/>
      </c>
      <c r="D17" s="1" t="str">
        <f>"0.007"</f>
        <v>0.007</v>
      </c>
      <c r="E17" s="1" t="str">
        <f>"0.003"</f>
        <v>0.003</v>
      </c>
      <c r="F17" s="1" t="str">
        <f>"0.000"</f>
        <v>0.000</v>
      </c>
    </row>
    <row r="18" spans="1:6" x14ac:dyDescent="0.2">
      <c r="A18" t="str">
        <f>""</f>
        <v/>
      </c>
      <c r="B18" s="1" t="str">
        <f>""</f>
        <v/>
      </c>
      <c r="C18" s="1" t="str">
        <f>""</f>
        <v/>
      </c>
      <c r="D18" s="1" t="str">
        <f>"(0.013)"</f>
        <v>(0.013)</v>
      </c>
      <c r="E18" s="1" t="str">
        <f>"(0.011)"</f>
        <v>(0.011)</v>
      </c>
      <c r="F18" s="1" t="str">
        <f>"(.)"</f>
        <v>(.)</v>
      </c>
    </row>
    <row r="19" spans="1:6" x14ac:dyDescent="0.2">
      <c r="A19" t="str">
        <f>"conscientious_diff"</f>
        <v>conscientious_diff</v>
      </c>
      <c r="B19" s="1" t="str">
        <f>""</f>
        <v/>
      </c>
      <c r="C19" s="1" t="str">
        <f>""</f>
        <v/>
      </c>
      <c r="D19" s="1" t="str">
        <f>"0.001"</f>
        <v>0.001</v>
      </c>
      <c r="E19" s="1" t="str">
        <f>"0.003"</f>
        <v>0.003</v>
      </c>
      <c r="F19" s="1" t="str">
        <f>"0.000"</f>
        <v>0.000</v>
      </c>
    </row>
    <row r="20" spans="1:6" x14ac:dyDescent="0.2">
      <c r="A20" t="str">
        <f>""</f>
        <v/>
      </c>
      <c r="B20" s="1" t="str">
        <f>""</f>
        <v/>
      </c>
      <c r="C20" s="1" t="str">
        <f>""</f>
        <v/>
      </c>
      <c r="D20" s="1" t="str">
        <f>"(0.011)"</f>
        <v>(0.011)</v>
      </c>
      <c r="E20" s="1" t="str">
        <f>"(0.009)"</f>
        <v>(0.009)</v>
      </c>
      <c r="F20" s="1" t="str">
        <f>"(.)"</f>
        <v>(.)</v>
      </c>
    </row>
    <row r="21" spans="1:6" x14ac:dyDescent="0.2">
      <c r="A21" t="str">
        <f>"stable_diff"</f>
        <v>stable_diff</v>
      </c>
      <c r="B21" s="1" t="str">
        <f>""</f>
        <v/>
      </c>
      <c r="C21" s="1" t="str">
        <f>""</f>
        <v/>
      </c>
      <c r="D21" s="1" t="str">
        <f>"-0.008"</f>
        <v>-0.008</v>
      </c>
      <c r="E21" s="1" t="str">
        <f>"-0.006"</f>
        <v>-0.006</v>
      </c>
      <c r="F21" s="1" t="str">
        <f>"0.000"</f>
        <v>0.000</v>
      </c>
    </row>
    <row r="22" spans="1:6" x14ac:dyDescent="0.2">
      <c r="A22" t="str">
        <f>""</f>
        <v/>
      </c>
      <c r="B22" s="1" t="str">
        <f>""</f>
        <v/>
      </c>
      <c r="C22" s="1" t="str">
        <f>""</f>
        <v/>
      </c>
      <c r="D22" s="1" t="str">
        <f>"(0.010)"</f>
        <v>(0.010)</v>
      </c>
      <c r="E22" s="1" t="str">
        <f>"(0.008)"</f>
        <v>(0.008)</v>
      </c>
      <c r="F22" s="1" t="str">
        <f>"(.)"</f>
        <v>(.)</v>
      </c>
    </row>
    <row r="23" spans="1:6" x14ac:dyDescent="0.2">
      <c r="A23" t="str">
        <f>"1.malepair"</f>
        <v>1.malepair</v>
      </c>
      <c r="B23" s="1" t="str">
        <f>""</f>
        <v/>
      </c>
      <c r="C23" s="1" t="str">
        <f>""</f>
        <v/>
      </c>
      <c r="D23" s="1" t="str">
        <f>"0.000"</f>
        <v>0.000</v>
      </c>
      <c r="E23" s="1" t="str">
        <f>"0.000"</f>
        <v>0.000</v>
      </c>
      <c r="F23" s="1" t="str">
        <f>"0.000"</f>
        <v>0.000</v>
      </c>
    </row>
    <row r="24" spans="1:6" x14ac:dyDescent="0.2">
      <c r="A24" t="str">
        <f>""</f>
        <v/>
      </c>
      <c r="B24" s="1" t="str">
        <f>""</f>
        <v/>
      </c>
      <c r="C24" s="1" t="str">
        <f>""</f>
        <v/>
      </c>
      <c r="D24" s="1" t="str">
        <f>"(.)"</f>
        <v>(.)</v>
      </c>
      <c r="E24" s="1" t="str">
        <f>"(.)"</f>
        <v>(.)</v>
      </c>
      <c r="F24" s="1" t="str">
        <f>"(.)"</f>
        <v>(.)</v>
      </c>
    </row>
    <row r="25" spans="1:6" x14ac:dyDescent="0.2">
      <c r="A25" t="str">
        <f>"2.malepair"</f>
        <v>2.malepair</v>
      </c>
      <c r="B25" s="1" t="str">
        <f>""</f>
        <v/>
      </c>
      <c r="C25" s="1" t="str">
        <f>""</f>
        <v/>
      </c>
      <c r="D25" s="1" t="str">
        <f>"0.061"</f>
        <v>0.061</v>
      </c>
      <c r="E25" s="1" t="str">
        <f>"0.014"</f>
        <v>0.014</v>
      </c>
      <c r="F25" s="1" t="str">
        <f>"0.000"</f>
        <v>0.000</v>
      </c>
    </row>
    <row r="26" spans="1:6" x14ac:dyDescent="0.2">
      <c r="A26" t="str">
        <f>""</f>
        <v/>
      </c>
      <c r="B26" s="1" t="str">
        <f>""</f>
        <v/>
      </c>
      <c r="C26" s="1" t="str">
        <f>""</f>
        <v/>
      </c>
      <c r="D26" s="1" t="str">
        <f>"(0.045)"</f>
        <v>(0.045)</v>
      </c>
      <c r="E26" s="1" t="str">
        <f>"(0.033)"</f>
        <v>(0.033)</v>
      </c>
      <c r="F26" s="1" t="str">
        <f>"(.)"</f>
        <v>(.)</v>
      </c>
    </row>
    <row r="27" spans="1:6" x14ac:dyDescent="0.2">
      <c r="A27" t="str">
        <f>"3.malepair"</f>
        <v>3.malepair</v>
      </c>
      <c r="B27" s="1" t="str">
        <f>""</f>
        <v/>
      </c>
      <c r="C27" s="1" t="str">
        <f>""</f>
        <v/>
      </c>
      <c r="D27" s="1" t="str">
        <f>"-0.081+"</f>
        <v>-0.081+</v>
      </c>
      <c r="E27" s="1" t="str">
        <f>"-0.044"</f>
        <v>-0.044</v>
      </c>
      <c r="F27" s="1" t="str">
        <f>"0.000"</f>
        <v>0.000</v>
      </c>
    </row>
    <row r="28" spans="1:6" x14ac:dyDescent="0.2">
      <c r="A28" t="str">
        <f>""</f>
        <v/>
      </c>
      <c r="B28" s="1" t="str">
        <f>""</f>
        <v/>
      </c>
      <c r="C28" s="1" t="str">
        <f>""</f>
        <v/>
      </c>
      <c r="D28" s="1" t="str">
        <f>"(0.048)"</f>
        <v>(0.048)</v>
      </c>
      <c r="E28" s="1" t="str">
        <f>"(0.034)"</f>
        <v>(0.034)</v>
      </c>
      <c r="F28" s="1" t="str">
        <f>"(.)"</f>
        <v>(.)</v>
      </c>
    </row>
    <row r="29" spans="1:6" x14ac:dyDescent="0.2">
      <c r="A29" t="str">
        <f>"4.malepair"</f>
        <v>4.malepair</v>
      </c>
      <c r="B29" s="1" t="str">
        <f>""</f>
        <v/>
      </c>
      <c r="C29" s="1" t="str">
        <f>""</f>
        <v/>
      </c>
      <c r="D29" s="1" t="str">
        <f>"-0.017"</f>
        <v>-0.017</v>
      </c>
      <c r="E29" s="1" t="str">
        <f>"0.018"</f>
        <v>0.018</v>
      </c>
      <c r="F29" s="1" t="str">
        <f>"0.000"</f>
        <v>0.000</v>
      </c>
    </row>
    <row r="30" spans="1:6" x14ac:dyDescent="0.2">
      <c r="A30" t="str">
        <f>""</f>
        <v/>
      </c>
      <c r="B30" s="1" t="str">
        <f>""</f>
        <v/>
      </c>
      <c r="C30" s="1" t="str">
        <f>""</f>
        <v/>
      </c>
      <c r="D30" s="1" t="str">
        <f>"(0.043)"</f>
        <v>(0.043)</v>
      </c>
      <c r="E30" s="1" t="str">
        <f>"(0.034)"</f>
        <v>(0.034)</v>
      </c>
      <c r="F30" s="1" t="str">
        <f>"(.)"</f>
        <v>(.)</v>
      </c>
    </row>
    <row r="31" spans="1:6" x14ac:dyDescent="0.2">
      <c r="A31" t="str">
        <f>"inclass_n_diff"</f>
        <v>inclass_n_diff</v>
      </c>
      <c r="B31" s="1" t="str">
        <f>""</f>
        <v/>
      </c>
      <c r="C31" s="1" t="str">
        <f>""</f>
        <v/>
      </c>
      <c r="D31" s="1" t="str">
        <f>"-0.001"</f>
        <v>-0.001</v>
      </c>
      <c r="E31" s="1" t="str">
        <f>"0.004+"</f>
        <v>0.004+</v>
      </c>
      <c r="F31" s="1" t="str">
        <f>"-0.007"</f>
        <v>-0.007</v>
      </c>
    </row>
    <row r="32" spans="1:6" x14ac:dyDescent="0.2">
      <c r="A32" t="str">
        <f>""</f>
        <v/>
      </c>
      <c r="B32" s="1" t="str">
        <f>""</f>
        <v/>
      </c>
      <c r="C32" s="1" t="str">
        <f>""</f>
        <v/>
      </c>
      <c r="D32" s="1" t="str">
        <f>"(0.003)"</f>
        <v>(0.003)</v>
      </c>
      <c r="E32" s="1" t="str">
        <f>"(0.002)"</f>
        <v>(0.002)</v>
      </c>
      <c r="F32" s="1" t="str">
        <f>"(0.004)"</f>
        <v>(0.004)</v>
      </c>
    </row>
    <row r="33" spans="1:6" x14ac:dyDescent="0.2">
      <c r="A33" t="str">
        <f>"inclass_pop_diff"</f>
        <v>inclass_pop_diff</v>
      </c>
      <c r="B33" s="1" t="str">
        <f>""</f>
        <v/>
      </c>
      <c r="C33" s="1" t="str">
        <f>""</f>
        <v/>
      </c>
      <c r="D33" s="1" t="str">
        <f>"0.001"</f>
        <v>0.001</v>
      </c>
      <c r="E33" s="1" t="str">
        <f>"-0.002"</f>
        <v>-0.002</v>
      </c>
      <c r="F33" s="1" t="str">
        <f>"0.002"</f>
        <v>0.002</v>
      </c>
    </row>
    <row r="34" spans="1:6" x14ac:dyDescent="0.2">
      <c r="A34" t="str">
        <f>""</f>
        <v/>
      </c>
      <c r="B34" s="1" t="str">
        <f>""</f>
        <v/>
      </c>
      <c r="C34" s="1" t="str">
        <f>""</f>
        <v/>
      </c>
      <c r="D34" s="1" t="str">
        <f>"(0.003)"</f>
        <v>(0.003)</v>
      </c>
      <c r="E34" s="1" t="str">
        <f>"(0.002)"</f>
        <v>(0.002)</v>
      </c>
      <c r="F34" s="1" t="str">
        <f>"(0.005)"</f>
        <v>(0.005)</v>
      </c>
    </row>
    <row r="35" spans="1:6" x14ac:dyDescent="0.2">
      <c r="A35" t="str">
        <f>"0.friendship"</f>
        <v>0.friendship</v>
      </c>
      <c r="B35" s="1" t="str">
        <f>""</f>
        <v/>
      </c>
      <c r="C35" s="1" t="str">
        <f>""</f>
        <v/>
      </c>
      <c r="D35" s="1" t="str">
        <f>"0.000"</f>
        <v>0.000</v>
      </c>
      <c r="E35" s="1" t="str">
        <f>"0.000"</f>
        <v>0.000</v>
      </c>
      <c r="F35" s="1" t="str">
        <f>"0.000"</f>
        <v>0.000</v>
      </c>
    </row>
    <row r="36" spans="1:6" x14ac:dyDescent="0.2">
      <c r="A36" t="str">
        <f>""</f>
        <v/>
      </c>
      <c r="B36" s="1" t="str">
        <f>""</f>
        <v/>
      </c>
      <c r="C36" s="1" t="str">
        <f>""</f>
        <v/>
      </c>
      <c r="D36" s="1" t="str">
        <f>"(.)"</f>
        <v>(.)</v>
      </c>
      <c r="E36" s="1" t="str">
        <f>"(.)"</f>
        <v>(.)</v>
      </c>
      <c r="F36" s="1" t="str">
        <f>"(.)"</f>
        <v>(.)</v>
      </c>
    </row>
    <row r="37" spans="1:6" x14ac:dyDescent="0.2">
      <c r="A37" t="str">
        <f>"1.friendship"</f>
        <v>1.friendship</v>
      </c>
      <c r="B37" s="1" t="str">
        <f>""</f>
        <v/>
      </c>
      <c r="C37" s="1" t="str">
        <f>""</f>
        <v/>
      </c>
      <c r="D37" s="1" t="str">
        <f>"0.052+"</f>
        <v>0.052+</v>
      </c>
      <c r="E37" s="1" t="str">
        <f>"0.032"</f>
        <v>0.032</v>
      </c>
      <c r="F37" s="1" t="str">
        <f>"0.002"</f>
        <v>0.002</v>
      </c>
    </row>
    <row r="38" spans="1:6" x14ac:dyDescent="0.2">
      <c r="A38" t="str">
        <f>""</f>
        <v/>
      </c>
      <c r="B38" s="1" t="str">
        <f>""</f>
        <v/>
      </c>
      <c r="C38" s="1" t="str">
        <f>""</f>
        <v/>
      </c>
      <c r="D38" s="1" t="str">
        <f>"(0.031)"</f>
        <v>(0.031)</v>
      </c>
      <c r="E38" s="1" t="str">
        <f>"(0.026)"</f>
        <v>(0.026)</v>
      </c>
      <c r="F38" s="1" t="str">
        <f>"(0.033)"</f>
        <v>(0.033)</v>
      </c>
    </row>
    <row r="39" spans="1:6" x14ac:dyDescent="0.2">
      <c r="A39" t="str">
        <f>"2.friendship"</f>
        <v>2.friendship</v>
      </c>
      <c r="B39" s="1" t="str">
        <f>""</f>
        <v/>
      </c>
      <c r="C39" s="1" t="str">
        <f>""</f>
        <v/>
      </c>
      <c r="D39" s="1" t="str">
        <f>"0.047"</f>
        <v>0.047</v>
      </c>
      <c r="E39" s="1" t="str">
        <f>"0.019"</f>
        <v>0.019</v>
      </c>
      <c r="F39" s="1" t="str">
        <f>"-0.066"</f>
        <v>-0.066</v>
      </c>
    </row>
    <row r="40" spans="1:6" x14ac:dyDescent="0.2">
      <c r="A40" t="str">
        <f>""</f>
        <v/>
      </c>
      <c r="B40" s="1" t="str">
        <f>""</f>
        <v/>
      </c>
      <c r="C40" s="1" t="str">
        <f>""</f>
        <v/>
      </c>
      <c r="D40" s="1" t="str">
        <f>"(0.030)"</f>
        <v>(0.030)</v>
      </c>
      <c r="E40" s="1" t="str">
        <f>"(0.023)"</f>
        <v>(0.023)</v>
      </c>
      <c r="F40" s="1" t="str">
        <f>"(0.051)"</f>
        <v>(0.051)</v>
      </c>
    </row>
    <row r="41" spans="1:6" x14ac:dyDescent="0.2">
      <c r="A41" t="str">
        <f>"_cons"</f>
        <v>_cons</v>
      </c>
      <c r="B41" s="1" t="str">
        <f>"0.709**"</f>
        <v>0.709**</v>
      </c>
      <c r="C41" s="1" t="str">
        <f>"0.693**"</f>
        <v>0.693**</v>
      </c>
      <c r="D41" s="1" t="str">
        <f>"0.481**"</f>
        <v>0.481**</v>
      </c>
      <c r="E41" s="1" t="str">
        <f>"0.671**"</f>
        <v>0.671**</v>
      </c>
      <c r="F41" s="1" t="str">
        <f>"0.699**"</f>
        <v>0.699**</v>
      </c>
    </row>
    <row r="42" spans="1:6" x14ac:dyDescent="0.2">
      <c r="A42" t="str">
        <f>""</f>
        <v/>
      </c>
      <c r="B42" s="1" t="str">
        <f>"(0.007)"</f>
        <v>(0.007)</v>
      </c>
      <c r="C42" s="1" t="str">
        <f>"(0.013)"</f>
        <v>(0.013)</v>
      </c>
      <c r="D42" s="1" t="str">
        <f>"(0.028)"</f>
        <v>(0.028)</v>
      </c>
      <c r="E42" s="1" t="str">
        <f>"(0.025)"</f>
        <v>(0.025)</v>
      </c>
      <c r="F42" s="1" t="str">
        <f>"(0.011)"</f>
        <v>(0.011)</v>
      </c>
    </row>
    <row r="43" spans="1:6" x14ac:dyDescent="0.2">
      <c r="A43" t="str">
        <f>"N"</f>
        <v>N</v>
      </c>
      <c r="B43" s="1" t="str">
        <f>"1203"</f>
        <v>1203</v>
      </c>
      <c r="C43" s="1" t="str">
        <f>"1203"</f>
        <v>1203</v>
      </c>
      <c r="D43" s="1" t="str">
        <f>"1203"</f>
        <v>1203</v>
      </c>
      <c r="E43" s="1" t="str">
        <f>"1203"</f>
        <v>1203</v>
      </c>
      <c r="F43" s="1" t="str">
        <f>"1114"</f>
        <v>1114</v>
      </c>
    </row>
    <row r="44" spans="1:6" x14ac:dyDescent="0.2">
      <c r="A44" t="str">
        <f>"R-squared"</f>
        <v>R-squared</v>
      </c>
      <c r="B44" s="1" t="str">
        <f>"0.410"</f>
        <v>0.410</v>
      </c>
      <c r="C44" s="1" t="str">
        <f>"0.412"</f>
        <v>0.412</v>
      </c>
      <c r="D44" s="1" t="str">
        <f>"0.083"</f>
        <v>0.083</v>
      </c>
      <c r="E44" s="1" t="str">
        <f>"0.429"</f>
        <v>0.429</v>
      </c>
      <c r="F44" s="1" t="str">
        <f>"0.732"</f>
        <v>0.732</v>
      </c>
    </row>
    <row r="45" spans="1:6" x14ac:dyDescent="0.2">
      <c r="A45" t="str">
        <f>"Standard errors in parentheses"</f>
        <v>Standard errors in parentheses</v>
      </c>
    </row>
    <row r="46" spans="1:6" x14ac:dyDescent="0.2">
      <c r="A46" t="s">
        <v>0</v>
      </c>
      <c r="B46" s="1" t="s">
        <v>1</v>
      </c>
      <c r="C46" s="1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table_bargainingCCEI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Park, Minseon</dc:creator>
  <cp:lastModifiedBy>Park, Minseon</cp:lastModifiedBy>
  <dcterms:created xsi:type="dcterms:W3CDTF">2025-08-29T03:50:14Z</dcterms:created>
  <dcterms:modified xsi:type="dcterms:W3CDTF">2025-08-29T11:04:53Z</dcterms:modified>
</cp:coreProperties>
</file>