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P-RP\Writing\"/>
    </mc:Choice>
  </mc:AlternateContent>
  <bookViews>
    <workbookView xWindow="930" yWindow="0" windowWidth="19200" windowHeight="6880" activeTab="3"/>
  </bookViews>
  <sheets>
    <sheet name="Table 1" sheetId="2" r:id="rId1"/>
    <sheet name="Table 2" sheetId="3" r:id="rId2"/>
    <sheet name="Table 3" sheetId="1" r:id="rId3"/>
    <sheet name="Table 5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10" i="1" l="1"/>
  <c r="R10" i="1"/>
  <c r="S8" i="1"/>
  <c r="R8" i="1"/>
  <c r="S9" i="1"/>
  <c r="R9" i="1"/>
  <c r="S7" i="1"/>
  <c r="R7" i="1"/>
  <c r="S6" i="1"/>
  <c r="S5" i="1"/>
  <c r="S12" i="1"/>
  <c r="S11" i="1"/>
  <c r="L7" i="1"/>
  <c r="L8" i="1"/>
  <c r="L9" i="1"/>
  <c r="L10" i="1"/>
  <c r="L11" i="1"/>
  <c r="L12" i="1"/>
  <c r="L13" i="1"/>
  <c r="L14" i="1"/>
  <c r="L15" i="1"/>
  <c r="L16" i="1"/>
  <c r="L17" i="1"/>
  <c r="L18" i="1"/>
  <c r="L6" i="1"/>
  <c r="L5" i="1"/>
</calcChain>
</file>

<file path=xl/sharedStrings.xml><?xml version="1.0" encoding="utf-8"?>
<sst xmlns="http://schemas.openxmlformats.org/spreadsheetml/2006/main" count="893" uniqueCount="262">
  <si>
    <t>*** p&lt;0.01, ** p&lt;0.05, * p&lt;0.1</t>
  </si>
  <si>
    <t>Robust standard errors in parentheses</t>
  </si>
  <si>
    <t>YES</t>
  </si>
  <si>
    <t>Class FE</t>
  </si>
  <si>
    <t>0.214</t>
  </si>
  <si>
    <t>0.210</t>
  </si>
  <si>
    <t>0.200</t>
  </si>
  <si>
    <t>0.172</t>
  </si>
  <si>
    <t>0.142</t>
  </si>
  <si>
    <t>0.197</t>
  </si>
  <si>
    <t>R-squared</t>
  </si>
  <si>
    <t>772</t>
  </si>
  <si>
    <t>786</t>
  </si>
  <si>
    <t>Observations</t>
  </si>
  <si>
    <t/>
  </si>
  <si>
    <t>(0.093)</t>
  </si>
  <si>
    <t>(0.039)</t>
  </si>
  <si>
    <t>(0.094)</t>
  </si>
  <si>
    <t>(0.072)</t>
  </si>
  <si>
    <t>0.559***</t>
  </si>
  <si>
    <t>0.556***</t>
  </si>
  <si>
    <t>0.582***</t>
  </si>
  <si>
    <t>0.926***</t>
  </si>
  <si>
    <t>0.530***</t>
  </si>
  <si>
    <t>0.495***</t>
  </si>
  <si>
    <t>Constant</t>
  </si>
  <si>
    <t>(0.066)</t>
  </si>
  <si>
    <t>0.458***</t>
  </si>
  <si>
    <t>ccei_ave</t>
  </si>
  <si>
    <t>(0.016)</t>
  </si>
  <si>
    <t>-0.000</t>
  </si>
  <si>
    <t>friendship = 2, Mutual</t>
  </si>
  <si>
    <t>(0.013)</t>
  </si>
  <si>
    <t>0.027**</t>
  </si>
  <si>
    <t>friendship = 1, One sided</t>
  </si>
  <si>
    <t>(0.004)</t>
  </si>
  <si>
    <t>-0.008*</t>
  </si>
  <si>
    <t>mathscore_dist</t>
  </si>
  <si>
    <t>(0.005)</t>
  </si>
  <si>
    <t>0.012**</t>
  </si>
  <si>
    <t>0.013***</t>
  </si>
  <si>
    <t>mathscore_max</t>
  </si>
  <si>
    <t>(0.053)</t>
  </si>
  <si>
    <t>(0.054)</t>
  </si>
  <si>
    <t>-0.261***</t>
  </si>
  <si>
    <t>-0.267***</t>
  </si>
  <si>
    <t>-0.277***</t>
  </si>
  <si>
    <t>-0.289***</t>
  </si>
  <si>
    <t>ccei_ind_dist</t>
  </si>
  <si>
    <t>(0.087)</t>
  </si>
  <si>
    <t>(0.086)</t>
  </si>
  <si>
    <t>0.359***</t>
  </si>
  <si>
    <t>0.366***</t>
  </si>
  <si>
    <t>0.368***</t>
  </si>
  <si>
    <t>0.400***</t>
  </si>
  <si>
    <t>ccei_ind_max</t>
  </si>
  <si>
    <t>ColCCEI</t>
  </si>
  <si>
    <t>VARIABLES</t>
  </si>
  <si>
    <t>(6)</t>
  </si>
  <si>
    <t>(5)</t>
  </si>
  <si>
    <t>(4)</t>
  </si>
  <si>
    <t>(3)</t>
  </si>
  <si>
    <t>(2)</t>
  </si>
  <si>
    <t>(1)</t>
  </si>
  <si>
    <t>0.581</t>
  </si>
  <si>
    <t>0.578</t>
  </si>
  <si>
    <t>0.568</t>
  </si>
  <si>
    <t>0.458</t>
  </si>
  <si>
    <t>0.454</t>
  </si>
  <si>
    <t>0.377</t>
  </si>
  <si>
    <t>0.376</t>
  </si>
  <si>
    <t>0.372</t>
  </si>
  <si>
    <t>0.145</t>
  </si>
  <si>
    <t>0.284</t>
  </si>
  <si>
    <t>254</t>
  </si>
  <si>
    <t>259</t>
  </si>
  <si>
    <t>460</t>
  </si>
  <si>
    <t>465</t>
  </si>
  <si>
    <t>(0.118)</t>
  </si>
  <si>
    <t>(0.116)</t>
  </si>
  <si>
    <t>(0.114)</t>
  </si>
  <si>
    <t>(0.048)</t>
  </si>
  <si>
    <t>(0.045)</t>
  </si>
  <si>
    <t>(0.040)</t>
  </si>
  <si>
    <t>(0.038)</t>
  </si>
  <si>
    <t>(0.035)</t>
  </si>
  <si>
    <t>-0.027</t>
  </si>
  <si>
    <t>-0.019</t>
  </si>
  <si>
    <t>-0.023</t>
  </si>
  <si>
    <t>-0.039</t>
  </si>
  <si>
    <t>-0.024</t>
  </si>
  <si>
    <t>-0.004</t>
  </si>
  <si>
    <t>-0.008</t>
  </si>
  <si>
    <t>0.004</t>
  </si>
  <si>
    <t>0.279***</t>
  </si>
  <si>
    <t>0.006</t>
  </si>
  <si>
    <t>-0.003</t>
  </si>
  <si>
    <t>0.799***</t>
  </si>
  <si>
    <t>riskaversion_ave</t>
  </si>
  <si>
    <t>(0.023)</t>
  </si>
  <si>
    <t>(0.017)</t>
  </si>
  <si>
    <t>-0.021</t>
  </si>
  <si>
    <t>-0.007</t>
  </si>
  <si>
    <t>-0.015</t>
  </si>
  <si>
    <t>(0.022)</t>
  </si>
  <si>
    <t>(0.012)</t>
  </si>
  <si>
    <t>0.013</t>
  </si>
  <si>
    <t>0.007</t>
  </si>
  <si>
    <t>-0.011</t>
  </si>
  <si>
    <t>(0.006)</t>
  </si>
  <si>
    <t>0.008</t>
  </si>
  <si>
    <t>0.000</t>
  </si>
  <si>
    <t>(0.007)</t>
  </si>
  <si>
    <t>-0.005</t>
  </si>
  <si>
    <t>0.003</t>
  </si>
  <si>
    <t>0.001</t>
  </si>
  <si>
    <t>(0.092)</t>
  </si>
  <si>
    <t>(0.091)</t>
  </si>
  <si>
    <t>(0.065)</t>
  </si>
  <si>
    <t>(0.050)</t>
  </si>
  <si>
    <t>(0.063)</t>
  </si>
  <si>
    <t>-0.476***</t>
  </si>
  <si>
    <t>-0.482***</t>
  </si>
  <si>
    <t>-0.502***</t>
  </si>
  <si>
    <t>-0.438***</t>
  </si>
  <si>
    <t>-0.450***</t>
  </si>
  <si>
    <t>-0.419***</t>
  </si>
  <si>
    <t>-0.418***</t>
  </si>
  <si>
    <t>-0.421***</t>
  </si>
  <si>
    <t>-0.169***</t>
  </si>
  <si>
    <t>riskaversion_ind_dist</t>
  </si>
  <si>
    <t>(0.102)</t>
  </si>
  <si>
    <t>(0.101)</t>
  </si>
  <si>
    <t>(0.070)</t>
  </si>
  <si>
    <t>(0.060)</t>
  </si>
  <si>
    <t>(0.064)</t>
  </si>
  <si>
    <t>0.920***</t>
  </si>
  <si>
    <t>0.927***</t>
  </si>
  <si>
    <t>0.848***</t>
  </si>
  <si>
    <t>0.849***</t>
  </si>
  <si>
    <t>0.844***</t>
  </si>
  <si>
    <t>0.795***</t>
  </si>
  <si>
    <t>0.796***</t>
  </si>
  <si>
    <t>0.792***</t>
  </si>
  <si>
    <t>0.608***</t>
  </si>
  <si>
    <t>riskaversion_ind_max</t>
  </si>
  <si>
    <t>ColRA</t>
  </si>
  <si>
    <t>(12)</t>
  </si>
  <si>
    <t>(11)</t>
  </si>
  <si>
    <t>(10)</t>
  </si>
  <si>
    <t>(9)</t>
  </si>
  <si>
    <t>(8)</t>
  </si>
  <si>
    <t>(7)</t>
  </si>
  <si>
    <t>전체 샘플</t>
    <phoneticPr fontId="2" type="noConversion"/>
  </si>
  <si>
    <t>0.348</t>
  </si>
  <si>
    <t>0.343</t>
  </si>
  <si>
    <t>0.333</t>
  </si>
  <si>
    <t>0.290</t>
  </si>
  <si>
    <t>0.308</t>
  </si>
  <si>
    <t>0.287</t>
  </si>
  <si>
    <t>0.330</t>
  </si>
  <si>
    <t>0.327</t>
  </si>
  <si>
    <t>0.325</t>
  </si>
  <si>
    <t>0.298</t>
  </si>
  <si>
    <t>0.175</t>
  </si>
  <si>
    <t>(0.370)</t>
  </si>
  <si>
    <t>(0.356)</t>
  </si>
  <si>
    <t>(0.033)</t>
  </si>
  <si>
    <t>(0.355)</t>
  </si>
  <si>
    <t>(0.028)</t>
  </si>
  <si>
    <t>(0.049)</t>
  </si>
  <si>
    <t>0.828**</t>
  </si>
  <si>
    <t>0.818**</t>
  </si>
  <si>
    <t>0.803**</t>
  </si>
  <si>
    <t>0.081**</t>
  </si>
  <si>
    <t>0.773**</t>
  </si>
  <si>
    <t>0.009</t>
  </si>
  <si>
    <t>0.801***</t>
  </si>
  <si>
    <t>0.800***</t>
  </si>
  <si>
    <t>0.805***</t>
  </si>
  <si>
    <t>0.163***</t>
  </si>
  <si>
    <t>0.765***</t>
  </si>
  <si>
    <t>0.114**</t>
  </si>
  <si>
    <t>0.012</t>
  </si>
  <si>
    <t>-0.012</t>
  </si>
  <si>
    <t>0.015</t>
  </si>
  <si>
    <t>(0.003)</t>
  </si>
  <si>
    <t>0.002</t>
  </si>
  <si>
    <t>(0.058)</t>
  </si>
  <si>
    <t>(0.056)</t>
  </si>
  <si>
    <t>(0.042)</t>
  </si>
  <si>
    <t>(0.041)</t>
  </si>
  <si>
    <t>-0.089</t>
  </si>
  <si>
    <t>-0.085</t>
  </si>
  <si>
    <t>-0.069</t>
  </si>
  <si>
    <t>-0.036</t>
  </si>
  <si>
    <t>-0.122***</t>
  </si>
  <si>
    <t>-0.121***</t>
  </si>
  <si>
    <t>-0.114***</t>
  </si>
  <si>
    <t>-0.123***</t>
  </si>
  <si>
    <t>(0.069)</t>
  </si>
  <si>
    <t>(0.062)</t>
  </si>
  <si>
    <t>(0.061)</t>
  </si>
  <si>
    <t>-0.059</t>
  </si>
  <si>
    <t>-0.063</t>
  </si>
  <si>
    <t>-0.070</t>
  </si>
  <si>
    <t>-0.101</t>
  </si>
  <si>
    <t>-0.040</t>
  </si>
  <si>
    <t>-0.043</t>
  </si>
  <si>
    <t>-0.054</t>
  </si>
  <si>
    <t>(0.359)</t>
  </si>
  <si>
    <t>(0.361)</t>
  </si>
  <si>
    <t>(0.351)</t>
  </si>
  <si>
    <t>-0.770**</t>
  </si>
  <si>
    <t>-0.766**</t>
  </si>
  <si>
    <t>-0.738**</t>
  </si>
  <si>
    <t>-0.750**</t>
  </si>
  <si>
    <t>-0.699***</t>
  </si>
  <si>
    <t>-0.697***</t>
  </si>
  <si>
    <t>-0.695***</t>
  </si>
  <si>
    <t>-0.688***</t>
  </si>
  <si>
    <t>(0.018)</t>
  </si>
  <si>
    <t>(0.019)</t>
  </si>
  <si>
    <t>0.017</t>
  </si>
  <si>
    <t>0.018</t>
  </si>
  <si>
    <t>0.022</t>
  </si>
  <si>
    <t>0.024</t>
  </si>
  <si>
    <t>0.023</t>
  </si>
  <si>
    <t>0.011</t>
  </si>
  <si>
    <t>rdupair = 2, Both RDU</t>
  </si>
  <si>
    <t>(0.010)</t>
  </si>
  <si>
    <t>(0.011)</t>
  </si>
  <si>
    <t>0.020</t>
  </si>
  <si>
    <t>0.019</t>
  </si>
  <si>
    <t>0.023*</t>
  </si>
  <si>
    <t>-0.001</t>
  </si>
  <si>
    <t>-0.002</t>
  </si>
  <si>
    <t>rdupair = 1, EUT and RDU</t>
  </si>
  <si>
    <t>uloss_col</t>
  </si>
  <si>
    <t>두 개인, 그룹의 CCEI &gt;0.8 이상</t>
    <phoneticPr fontId="2" type="noConversion"/>
  </si>
  <si>
    <t>두 개인, 그룹의 CCEI &gt;0.9 이상</t>
    <phoneticPr fontId="2" type="noConversion"/>
  </si>
  <si>
    <r>
      <rPr>
        <sz val="10"/>
        <rFont val="Malgun Gothic"/>
        <family val="2"/>
        <charset val="129"/>
      </rPr>
      <t xml:space="preserve">두 개인, 그룹의 </t>
    </r>
    <r>
      <rPr>
        <sz val="10"/>
        <rFont val="Calibri"/>
        <family val="2"/>
      </rPr>
      <t xml:space="preserve">CCEI&gt;0.8 </t>
    </r>
    <r>
      <rPr>
        <sz val="10"/>
        <rFont val="Malgun Gothic"/>
        <family val="2"/>
        <charset val="129"/>
      </rPr>
      <t>이상</t>
    </r>
    <phoneticPr fontId="2" type="noConversion"/>
  </si>
  <si>
    <r>
      <rPr>
        <sz val="10"/>
        <rFont val="Malgun Gothic"/>
        <family val="2"/>
        <charset val="129"/>
      </rPr>
      <t xml:space="preserve">두 개인, 그룹의 </t>
    </r>
    <r>
      <rPr>
        <sz val="10"/>
        <rFont val="Calibri"/>
        <family val="2"/>
      </rPr>
      <t xml:space="preserve">CCEI&gt;0.9 </t>
    </r>
    <r>
      <rPr>
        <sz val="10"/>
        <rFont val="Malgun Gothic"/>
        <family val="2"/>
        <charset val="129"/>
      </rPr>
      <t>이상</t>
    </r>
    <phoneticPr fontId="2" type="noConversion"/>
  </si>
  <si>
    <t>EUT</t>
  </si>
  <si>
    <t>Total</t>
  </si>
  <si>
    <t>Both EUT</t>
  </si>
  <si>
    <t>EUT and Elation Lovin</t>
  </si>
  <si>
    <t>EUT and Disppoinment</t>
  </si>
  <si>
    <t>Both Elation Loving</t>
  </si>
  <si>
    <t>ElationLoving and Dis</t>
  </si>
  <si>
    <t>Both Disspointment Av</t>
  </si>
  <si>
    <t>Collective Risk Type</t>
    <phoneticPr fontId="2" type="noConversion"/>
  </si>
  <si>
    <t>Indiviaul Risk Type_Pair</t>
    <phoneticPr fontId="2" type="noConversion"/>
  </si>
  <si>
    <t>N</t>
    <phoneticPr fontId="2" type="noConversion"/>
  </si>
  <si>
    <t>Percentage</t>
    <phoneticPr fontId="2" type="noConversion"/>
  </si>
  <si>
    <t>prweightingpair</t>
  </si>
  <si>
    <t>Elation L</t>
  </si>
  <si>
    <t>Disspointment Averse</t>
    <phoneticPr fontId="2" type="noConversion"/>
  </si>
  <si>
    <t>RDU</t>
    <phoneticPr fontId="2" type="noConversion"/>
  </si>
  <si>
    <t>EUT and RDU</t>
    <phoneticPr fontId="2" type="noConversion"/>
  </si>
  <si>
    <t>Both RDU</t>
    <phoneticPr fontId="2" type="noConversion"/>
  </si>
  <si>
    <t>This is created by Euncheol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</si>
</sst>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1"/>
      <color theme="1"/>
      <name val="맑은 고딕"/>
      <family val="2"/>
      <charset val="129"/>
      <scheme val="minor"/>
    </font>
    <font>
      <sz val="10"/>
      <name val="Calibri"/>
      <family val="2"/>
    </font>
    <font>
      <sz val="8"/>
      <name val="맑은 고딕"/>
      <family val="2"/>
      <charset val="129"/>
      <scheme val="minor"/>
    </font>
    <font>
      <sz val="10"/>
      <name val="Malgun Gothic"/>
      <family val="2"/>
      <charset val="129"/>
    </font>
    <font>
      <sz val="10"/>
      <name val="Calibr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1"/>
    <xf numFmtId="0" fontId="1" fillId="0" borderId="0" xfId="1" applyNumberFormat="1" applyFont="1"/>
    <xf numFmtId="0" fontId="1" fillId="0" borderId="1" xfId="1" applyNumberFormat="1" applyFont="1" applyBorder="1" applyAlignment="1">
      <alignment horizontal="center"/>
    </xf>
    <xf numFmtId="0" fontId="1" fillId="0" borderId="1" xfId="1" applyFont="1" applyBorder="1"/>
    <xf numFmtId="0" fontId="1" fillId="0" borderId="0" xfId="1" applyNumberFormat="1" applyFont="1" applyAlignment="1">
      <alignment horizontal="center"/>
    </xf>
    <xf numFmtId="0" fontId="1" fillId="0" borderId="0" xfId="1" applyFont="1" applyBorder="1"/>
    <xf numFmtId="0" fontId="1" fillId="0" borderId="2" xfId="1" applyNumberFormat="1" applyFont="1" applyBorder="1" applyAlignment="1">
      <alignment horizontal="center"/>
    </xf>
    <xf numFmtId="0" fontId="1" fillId="0" borderId="2" xfId="1" applyFont="1" applyBorder="1"/>
    <xf numFmtId="0" fontId="0" fillId="0" borderId="0" xfId="0" applyAlignment="1">
      <alignment vertical="center" wrapText="1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76" fontId="0" fillId="2" borderId="0" xfId="0" applyNumberFormat="1" applyFill="1">
      <alignment vertical="center"/>
    </xf>
  </cellXfs>
  <cellStyles count="2">
    <cellStyle name="Normal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B19" sqref="B19"/>
    </sheetView>
  </sheetViews>
  <sheetFormatPr defaultRowHeight="13"/>
  <cols>
    <col min="1" max="1" width="25" style="1" customWidth="1"/>
    <col min="2" max="7" width="9.6640625" style="1" customWidth="1"/>
    <col min="8" max="16384" width="8.6640625" style="1"/>
  </cols>
  <sheetData>
    <row r="2" spans="1:7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</row>
    <row r="3" spans="1:7">
      <c r="A3" s="6" t="s">
        <v>57</v>
      </c>
      <c r="B3" s="5" t="s">
        <v>56</v>
      </c>
      <c r="C3" s="5" t="s">
        <v>56</v>
      </c>
      <c r="D3" s="5" t="s">
        <v>56</v>
      </c>
      <c r="E3" s="5" t="s">
        <v>56</v>
      </c>
      <c r="F3" s="5" t="s">
        <v>56</v>
      </c>
      <c r="G3" s="5" t="s">
        <v>56</v>
      </c>
    </row>
    <row r="4" spans="1:7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</row>
    <row r="5" spans="1:7">
      <c r="A5" s="6" t="s">
        <v>55</v>
      </c>
      <c r="B5" s="5" t="s">
        <v>14</v>
      </c>
      <c r="C5" s="5" t="s">
        <v>54</v>
      </c>
      <c r="D5" s="5" t="s">
        <v>14</v>
      </c>
      <c r="E5" s="5" t="s">
        <v>53</v>
      </c>
      <c r="F5" s="5" t="s">
        <v>52</v>
      </c>
      <c r="G5" s="5" t="s">
        <v>51</v>
      </c>
    </row>
    <row r="6" spans="1:7">
      <c r="A6" s="6" t="s">
        <v>14</v>
      </c>
      <c r="B6" s="5" t="s">
        <v>14</v>
      </c>
      <c r="C6" s="5" t="s">
        <v>49</v>
      </c>
      <c r="D6" s="5" t="s">
        <v>14</v>
      </c>
      <c r="E6" s="5" t="s">
        <v>50</v>
      </c>
      <c r="F6" s="5" t="s">
        <v>49</v>
      </c>
      <c r="G6" s="5" t="s">
        <v>49</v>
      </c>
    </row>
    <row r="7" spans="1:7">
      <c r="A7" s="6" t="s">
        <v>48</v>
      </c>
      <c r="B7" s="5" t="s">
        <v>14</v>
      </c>
      <c r="C7" s="5" t="s">
        <v>14</v>
      </c>
      <c r="D7" s="5" t="s">
        <v>47</v>
      </c>
      <c r="E7" s="5" t="s">
        <v>46</v>
      </c>
      <c r="F7" s="5" t="s">
        <v>45</v>
      </c>
      <c r="G7" s="5" t="s">
        <v>44</v>
      </c>
    </row>
    <row r="8" spans="1:7">
      <c r="A8" s="6" t="s">
        <v>14</v>
      </c>
      <c r="B8" s="5" t="s">
        <v>14</v>
      </c>
      <c r="C8" s="5" t="s">
        <v>14</v>
      </c>
      <c r="D8" s="5" t="s">
        <v>43</v>
      </c>
      <c r="E8" s="5" t="s">
        <v>43</v>
      </c>
      <c r="F8" s="5" t="s">
        <v>43</v>
      </c>
      <c r="G8" s="5" t="s">
        <v>42</v>
      </c>
    </row>
    <row r="9" spans="1:7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40</v>
      </c>
      <c r="G9" s="5" t="s">
        <v>39</v>
      </c>
    </row>
    <row r="10" spans="1:7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38</v>
      </c>
      <c r="G10" s="5" t="s">
        <v>38</v>
      </c>
    </row>
    <row r="11" spans="1:7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36</v>
      </c>
      <c r="G11" s="5" t="s">
        <v>36</v>
      </c>
    </row>
    <row r="12" spans="1:7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</row>
    <row r="13" spans="1:7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33</v>
      </c>
    </row>
    <row r="14" spans="1:7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32</v>
      </c>
    </row>
    <row r="15" spans="1:7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30</v>
      </c>
    </row>
    <row r="16" spans="1:7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29</v>
      </c>
    </row>
    <row r="17" spans="1:7">
      <c r="A17" s="6" t="s">
        <v>28</v>
      </c>
      <c r="B17" s="5" t="s">
        <v>27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</row>
    <row r="18" spans="1:7">
      <c r="A18" s="6" t="s">
        <v>14</v>
      </c>
      <c r="B18" s="5" t="s">
        <v>26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</row>
    <row r="19" spans="1:7">
      <c r="A19" s="6" t="s">
        <v>25</v>
      </c>
      <c r="B19" s="5" t="s">
        <v>24</v>
      </c>
      <c r="C19" s="5" t="s">
        <v>23</v>
      </c>
      <c r="D19" s="5" t="s">
        <v>22</v>
      </c>
      <c r="E19" s="5" t="s">
        <v>21</v>
      </c>
      <c r="F19" s="5" t="s">
        <v>20</v>
      </c>
      <c r="G19" s="5" t="s">
        <v>19</v>
      </c>
    </row>
    <row r="20" spans="1:7">
      <c r="A20" s="6" t="s">
        <v>14</v>
      </c>
      <c r="B20" s="5" t="s">
        <v>18</v>
      </c>
      <c r="C20" s="5" t="s">
        <v>17</v>
      </c>
      <c r="D20" s="5" t="s">
        <v>16</v>
      </c>
      <c r="E20" s="5" t="s">
        <v>15</v>
      </c>
      <c r="F20" s="5" t="s">
        <v>15</v>
      </c>
      <c r="G20" s="5" t="s">
        <v>15</v>
      </c>
    </row>
    <row r="21" spans="1:7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</row>
    <row r="22" spans="1:7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</row>
    <row r="23" spans="1:7">
      <c r="A23" s="6" t="s">
        <v>10</v>
      </c>
      <c r="B23" s="5" t="s">
        <v>9</v>
      </c>
      <c r="C23" s="5" t="s">
        <v>8</v>
      </c>
      <c r="D23" s="5" t="s">
        <v>7</v>
      </c>
      <c r="E23" s="5" t="s">
        <v>6</v>
      </c>
      <c r="F23" s="5" t="s">
        <v>5</v>
      </c>
      <c r="G23" s="5" t="s">
        <v>4</v>
      </c>
    </row>
    <row r="24" spans="1:7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</row>
    <row r="25" spans="1:7">
      <c r="A25" s="2" t="s">
        <v>1</v>
      </c>
    </row>
    <row r="26" spans="1:7">
      <c r="A26" s="2" t="s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K2" sqref="K2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10" t="s">
        <v>153</v>
      </c>
      <c r="C1" s="11"/>
      <c r="D1" s="11"/>
      <c r="E1" s="11"/>
      <c r="F1" s="11"/>
      <c r="G1" s="11"/>
      <c r="H1" s="10" t="s">
        <v>239</v>
      </c>
      <c r="I1" s="11"/>
      <c r="J1" s="11"/>
      <c r="K1" s="10" t="s">
        <v>240</v>
      </c>
      <c r="L1" s="11"/>
      <c r="M1" s="11"/>
    </row>
    <row r="2" spans="1:13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  <c r="H2" s="7" t="s">
        <v>152</v>
      </c>
      <c r="I2" s="7" t="s">
        <v>151</v>
      </c>
      <c r="J2" s="7" t="s">
        <v>150</v>
      </c>
      <c r="K2" s="7" t="s">
        <v>149</v>
      </c>
      <c r="L2" s="7" t="s">
        <v>148</v>
      </c>
      <c r="M2" s="7" t="s">
        <v>147</v>
      </c>
    </row>
    <row r="3" spans="1:13">
      <c r="A3" s="6" t="s">
        <v>57</v>
      </c>
      <c r="B3" s="5" t="s">
        <v>146</v>
      </c>
      <c r="C3" s="5" t="s">
        <v>146</v>
      </c>
      <c r="D3" s="5" t="s">
        <v>146</v>
      </c>
      <c r="E3" s="5" t="s">
        <v>146</v>
      </c>
      <c r="F3" s="5" t="s">
        <v>146</v>
      </c>
      <c r="G3" s="5" t="s">
        <v>146</v>
      </c>
      <c r="H3" s="5" t="s">
        <v>146</v>
      </c>
      <c r="I3" s="5" t="s">
        <v>146</v>
      </c>
      <c r="J3" s="5" t="s">
        <v>146</v>
      </c>
      <c r="K3" s="5" t="s">
        <v>146</v>
      </c>
      <c r="L3" s="5" t="s">
        <v>146</v>
      </c>
      <c r="M3" s="5" t="s">
        <v>146</v>
      </c>
    </row>
    <row r="4" spans="1:13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6" t="s">
        <v>145</v>
      </c>
      <c r="B5" s="5" t="s">
        <v>14</v>
      </c>
      <c r="C5" s="5" t="s">
        <v>144</v>
      </c>
      <c r="D5" s="5" t="s">
        <v>14</v>
      </c>
      <c r="E5" s="5" t="s">
        <v>143</v>
      </c>
      <c r="F5" s="5" t="s">
        <v>142</v>
      </c>
      <c r="G5" s="5" t="s">
        <v>141</v>
      </c>
      <c r="H5" s="5" t="s">
        <v>140</v>
      </c>
      <c r="I5" s="5" t="s">
        <v>139</v>
      </c>
      <c r="J5" s="5" t="s">
        <v>138</v>
      </c>
      <c r="K5" s="5" t="s">
        <v>137</v>
      </c>
      <c r="L5" s="5" t="s">
        <v>22</v>
      </c>
      <c r="M5" s="5" t="s">
        <v>136</v>
      </c>
    </row>
    <row r="6" spans="1:13">
      <c r="A6" s="6" t="s">
        <v>14</v>
      </c>
      <c r="B6" s="5" t="s">
        <v>14</v>
      </c>
      <c r="C6" s="5" t="s">
        <v>135</v>
      </c>
      <c r="D6" s="5" t="s">
        <v>14</v>
      </c>
      <c r="E6" s="5" t="s">
        <v>134</v>
      </c>
      <c r="F6" s="5" t="s">
        <v>134</v>
      </c>
      <c r="G6" s="5" t="s">
        <v>134</v>
      </c>
      <c r="H6" s="5" t="s">
        <v>133</v>
      </c>
      <c r="I6" s="5" t="s">
        <v>133</v>
      </c>
      <c r="J6" s="5" t="s">
        <v>133</v>
      </c>
      <c r="K6" s="5" t="s">
        <v>132</v>
      </c>
      <c r="L6" s="5" t="s">
        <v>132</v>
      </c>
      <c r="M6" s="5" t="s">
        <v>131</v>
      </c>
    </row>
    <row r="7" spans="1:13">
      <c r="A7" s="6" t="s">
        <v>130</v>
      </c>
      <c r="B7" s="5" t="s">
        <v>14</v>
      </c>
      <c r="C7" s="5" t="s">
        <v>14</v>
      </c>
      <c r="D7" s="5" t="s">
        <v>129</v>
      </c>
      <c r="E7" s="5" t="s">
        <v>128</v>
      </c>
      <c r="F7" s="5" t="s">
        <v>127</v>
      </c>
      <c r="G7" s="5" t="s">
        <v>126</v>
      </c>
      <c r="H7" s="5" t="s">
        <v>125</v>
      </c>
      <c r="I7" s="5" t="s">
        <v>124</v>
      </c>
      <c r="J7" s="5" t="s">
        <v>124</v>
      </c>
      <c r="K7" s="5" t="s">
        <v>123</v>
      </c>
      <c r="L7" s="5" t="s">
        <v>122</v>
      </c>
      <c r="M7" s="5" t="s">
        <v>121</v>
      </c>
    </row>
    <row r="8" spans="1:13">
      <c r="A8" s="6" t="s">
        <v>14</v>
      </c>
      <c r="B8" s="5" t="s">
        <v>14</v>
      </c>
      <c r="C8" s="5" t="s">
        <v>14</v>
      </c>
      <c r="D8" s="5" t="s">
        <v>120</v>
      </c>
      <c r="E8" s="5" t="s">
        <v>119</v>
      </c>
      <c r="F8" s="5" t="s">
        <v>119</v>
      </c>
      <c r="G8" s="5" t="s">
        <v>119</v>
      </c>
      <c r="H8" s="5" t="s">
        <v>118</v>
      </c>
      <c r="I8" s="5" t="s">
        <v>118</v>
      </c>
      <c r="J8" s="5" t="s">
        <v>118</v>
      </c>
      <c r="K8" s="5" t="s">
        <v>117</v>
      </c>
      <c r="L8" s="5" t="s">
        <v>117</v>
      </c>
      <c r="M8" s="5" t="s">
        <v>116</v>
      </c>
    </row>
    <row r="9" spans="1:13">
      <c r="A9" s="6" t="s">
        <v>41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115</v>
      </c>
      <c r="G9" s="5" t="s">
        <v>115</v>
      </c>
      <c r="H9" s="5" t="s">
        <v>14</v>
      </c>
      <c r="I9" s="5" t="s">
        <v>114</v>
      </c>
      <c r="J9" s="5" t="s">
        <v>114</v>
      </c>
      <c r="K9" s="5" t="s">
        <v>14</v>
      </c>
      <c r="L9" s="5" t="s">
        <v>113</v>
      </c>
      <c r="M9" s="5" t="s">
        <v>113</v>
      </c>
    </row>
    <row r="10" spans="1:13">
      <c r="A10" s="6" t="s">
        <v>14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35</v>
      </c>
      <c r="G10" s="5" t="s">
        <v>35</v>
      </c>
      <c r="H10" s="5" t="s">
        <v>14</v>
      </c>
      <c r="I10" s="5" t="s">
        <v>109</v>
      </c>
      <c r="J10" s="5" t="s">
        <v>109</v>
      </c>
      <c r="K10" s="5" t="s">
        <v>14</v>
      </c>
      <c r="L10" s="5" t="s">
        <v>112</v>
      </c>
      <c r="M10" s="5" t="s">
        <v>112</v>
      </c>
    </row>
    <row r="11" spans="1:13">
      <c r="A11" s="6" t="s">
        <v>37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93</v>
      </c>
      <c r="G11" s="5" t="s">
        <v>93</v>
      </c>
      <c r="H11" s="5" t="s">
        <v>14</v>
      </c>
      <c r="I11" s="5" t="s">
        <v>111</v>
      </c>
      <c r="J11" s="5" t="s">
        <v>111</v>
      </c>
      <c r="K11" s="5" t="s">
        <v>14</v>
      </c>
      <c r="L11" s="5" t="s">
        <v>110</v>
      </c>
      <c r="M11" s="5" t="s">
        <v>107</v>
      </c>
    </row>
    <row r="12" spans="1:13">
      <c r="A12" s="6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35</v>
      </c>
      <c r="G12" s="5" t="s">
        <v>35</v>
      </c>
      <c r="H12" s="5" t="s">
        <v>14</v>
      </c>
      <c r="I12" s="5" t="s">
        <v>38</v>
      </c>
      <c r="J12" s="5" t="s">
        <v>38</v>
      </c>
      <c r="K12" s="5" t="s">
        <v>14</v>
      </c>
      <c r="L12" s="5" t="s">
        <v>109</v>
      </c>
      <c r="M12" s="5" t="s">
        <v>109</v>
      </c>
    </row>
    <row r="13" spans="1:13">
      <c r="A13" s="6" t="s">
        <v>34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108</v>
      </c>
      <c r="H13" s="5" t="s">
        <v>14</v>
      </c>
      <c r="I13" s="5" t="s">
        <v>14</v>
      </c>
      <c r="J13" s="5" t="s">
        <v>107</v>
      </c>
      <c r="K13" s="5" t="s">
        <v>14</v>
      </c>
      <c r="L13" s="5" t="s">
        <v>14</v>
      </c>
      <c r="M13" s="5" t="s">
        <v>106</v>
      </c>
    </row>
    <row r="14" spans="1:13">
      <c r="A14" s="6" t="s">
        <v>14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105</v>
      </c>
      <c r="H14" s="5" t="s">
        <v>14</v>
      </c>
      <c r="I14" s="5" t="s">
        <v>14</v>
      </c>
      <c r="J14" s="5" t="s">
        <v>29</v>
      </c>
      <c r="K14" s="5" t="s">
        <v>14</v>
      </c>
      <c r="L14" s="5" t="s">
        <v>14</v>
      </c>
      <c r="M14" s="5" t="s">
        <v>104</v>
      </c>
    </row>
    <row r="15" spans="1:13">
      <c r="A15" s="6" t="s">
        <v>31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103</v>
      </c>
      <c r="H15" s="5" t="s">
        <v>14</v>
      </c>
      <c r="I15" s="5" t="s">
        <v>14</v>
      </c>
      <c r="J15" s="5" t="s">
        <v>102</v>
      </c>
      <c r="K15" s="5" t="s">
        <v>14</v>
      </c>
      <c r="L15" s="5" t="s">
        <v>14</v>
      </c>
      <c r="M15" s="5" t="s">
        <v>101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32</v>
      </c>
      <c r="H16" s="5" t="s">
        <v>14</v>
      </c>
      <c r="I16" s="5" t="s">
        <v>14</v>
      </c>
      <c r="J16" s="5" t="s">
        <v>100</v>
      </c>
      <c r="K16" s="5" t="s">
        <v>14</v>
      </c>
      <c r="L16" s="5" t="s">
        <v>14</v>
      </c>
      <c r="M16" s="5" t="s">
        <v>99</v>
      </c>
    </row>
    <row r="17" spans="1:13">
      <c r="A17" s="6" t="s">
        <v>98</v>
      </c>
      <c r="B17" s="5" t="s">
        <v>97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  <c r="M17" s="5" t="s">
        <v>14</v>
      </c>
    </row>
    <row r="18" spans="1:13">
      <c r="A18" s="6" t="s">
        <v>14</v>
      </c>
      <c r="B18" s="5" t="s">
        <v>43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  <c r="M18" s="5" t="s">
        <v>14</v>
      </c>
    </row>
    <row r="19" spans="1:13">
      <c r="A19" s="6" t="s">
        <v>25</v>
      </c>
      <c r="B19" s="5" t="s">
        <v>96</v>
      </c>
      <c r="C19" s="5" t="s">
        <v>95</v>
      </c>
      <c r="D19" s="5" t="s">
        <v>94</v>
      </c>
      <c r="E19" s="5" t="s">
        <v>93</v>
      </c>
      <c r="F19" s="5" t="s">
        <v>92</v>
      </c>
      <c r="G19" s="5" t="s">
        <v>91</v>
      </c>
      <c r="H19" s="5" t="s">
        <v>90</v>
      </c>
      <c r="I19" s="5" t="s">
        <v>89</v>
      </c>
      <c r="J19" s="5" t="s">
        <v>89</v>
      </c>
      <c r="K19" s="5" t="s">
        <v>88</v>
      </c>
      <c r="L19" s="5" t="s">
        <v>87</v>
      </c>
      <c r="M19" s="5" t="s">
        <v>86</v>
      </c>
    </row>
    <row r="20" spans="1:13">
      <c r="A20" s="6" t="s">
        <v>14</v>
      </c>
      <c r="B20" s="5" t="s">
        <v>85</v>
      </c>
      <c r="C20" s="5" t="s">
        <v>82</v>
      </c>
      <c r="D20" s="5" t="s">
        <v>84</v>
      </c>
      <c r="E20" s="5" t="s">
        <v>84</v>
      </c>
      <c r="F20" s="5" t="s">
        <v>83</v>
      </c>
      <c r="G20" s="5" t="s">
        <v>83</v>
      </c>
      <c r="H20" s="5" t="s">
        <v>82</v>
      </c>
      <c r="I20" s="5" t="s">
        <v>81</v>
      </c>
      <c r="J20" s="5" t="s">
        <v>81</v>
      </c>
      <c r="K20" s="5" t="s">
        <v>80</v>
      </c>
      <c r="L20" s="5" t="s">
        <v>79</v>
      </c>
      <c r="M20" s="5" t="s">
        <v>78</v>
      </c>
    </row>
    <row r="21" spans="1:13">
      <c r="A21" s="6" t="s">
        <v>14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</row>
    <row r="22" spans="1:13">
      <c r="A22" s="6" t="s">
        <v>13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11</v>
      </c>
      <c r="G22" s="5" t="s">
        <v>11</v>
      </c>
      <c r="H22" s="5" t="s">
        <v>77</v>
      </c>
      <c r="I22" s="5" t="s">
        <v>76</v>
      </c>
      <c r="J22" s="5" t="s">
        <v>76</v>
      </c>
      <c r="K22" s="5" t="s">
        <v>75</v>
      </c>
      <c r="L22" s="5" t="s">
        <v>74</v>
      </c>
      <c r="M22" s="5" t="s">
        <v>74</v>
      </c>
    </row>
    <row r="23" spans="1:13">
      <c r="A23" s="6" t="s">
        <v>10</v>
      </c>
      <c r="B23" s="5" t="s">
        <v>71</v>
      </c>
      <c r="C23" s="5" t="s">
        <v>73</v>
      </c>
      <c r="D23" s="5" t="s">
        <v>72</v>
      </c>
      <c r="E23" s="5" t="s">
        <v>71</v>
      </c>
      <c r="F23" s="5" t="s">
        <v>70</v>
      </c>
      <c r="G23" s="5" t="s">
        <v>69</v>
      </c>
      <c r="H23" s="5" t="s">
        <v>68</v>
      </c>
      <c r="I23" s="5" t="s">
        <v>67</v>
      </c>
      <c r="J23" s="5" t="s">
        <v>67</v>
      </c>
      <c r="K23" s="5" t="s">
        <v>66</v>
      </c>
      <c r="L23" s="5" t="s">
        <v>65</v>
      </c>
      <c r="M23" s="5" t="s">
        <v>64</v>
      </c>
    </row>
    <row r="24" spans="1:13">
      <c r="A24" s="4" t="s">
        <v>3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  <c r="J24" s="3" t="s">
        <v>2</v>
      </c>
      <c r="K24" s="3" t="s">
        <v>2</v>
      </c>
      <c r="L24" s="3" t="s">
        <v>2</v>
      </c>
      <c r="M24" s="3" t="s">
        <v>2</v>
      </c>
    </row>
    <row r="25" spans="1:13">
      <c r="A25" s="2" t="s">
        <v>1</v>
      </c>
    </row>
    <row r="26" spans="1:13">
      <c r="A26" s="2" t="s">
        <v>0</v>
      </c>
    </row>
  </sheetData>
  <mergeCells count="3">
    <mergeCell ref="B1:G1"/>
    <mergeCell ref="H1:J1"/>
    <mergeCell ref="K1:M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R26" sqref="R26"/>
    </sheetView>
  </sheetViews>
  <sheetFormatPr defaultRowHeight="17"/>
  <cols>
    <col min="1" max="1" width="8.6640625" style="9"/>
    <col min="2" max="2" width="21.33203125" bestFit="1" customWidth="1"/>
    <col min="4" max="4" width="13.08203125" bestFit="1" customWidth="1"/>
    <col min="5" max="5" width="20.25" bestFit="1" customWidth="1"/>
    <col min="7" max="7" width="10.58203125" bestFit="1" customWidth="1"/>
    <col min="10" max="10" width="18.25" customWidth="1"/>
  </cols>
  <sheetData>
    <row r="1" spans="1:21"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>
      <c r="C2" s="12" t="s">
        <v>251</v>
      </c>
      <c r="D2" s="12"/>
      <c r="E2" s="12"/>
      <c r="I2" s="16"/>
      <c r="J2" s="15"/>
      <c r="K2" s="17" t="s">
        <v>251</v>
      </c>
      <c r="L2" s="17"/>
      <c r="M2" s="17"/>
      <c r="N2" s="15"/>
      <c r="O2" s="15"/>
      <c r="P2" s="16"/>
      <c r="Q2" s="15"/>
      <c r="R2" s="17" t="s">
        <v>251</v>
      </c>
      <c r="S2" s="17"/>
      <c r="T2" s="17"/>
      <c r="U2" s="15"/>
    </row>
    <row r="3" spans="1:21">
      <c r="B3" t="s">
        <v>255</v>
      </c>
      <c r="C3" t="s">
        <v>243</v>
      </c>
      <c r="D3" t="s">
        <v>256</v>
      </c>
      <c r="E3" t="s">
        <v>257</v>
      </c>
      <c r="F3" t="s">
        <v>244</v>
      </c>
      <c r="I3" s="16"/>
      <c r="J3" s="15" t="s">
        <v>255</v>
      </c>
      <c r="K3" s="15" t="s">
        <v>243</v>
      </c>
      <c r="L3" s="15" t="s">
        <v>258</v>
      </c>
      <c r="M3" s="15" t="s">
        <v>244</v>
      </c>
      <c r="N3" s="15"/>
      <c r="O3" s="15"/>
      <c r="P3" s="16"/>
      <c r="Q3" s="15" t="s">
        <v>255</v>
      </c>
      <c r="R3" s="15" t="s">
        <v>243</v>
      </c>
      <c r="S3" s="15" t="s">
        <v>258</v>
      </c>
      <c r="T3" s="15" t="s">
        <v>244</v>
      </c>
      <c r="U3" s="15"/>
    </row>
    <row r="4" spans="1:21">
      <c r="A4" s="13" t="s">
        <v>252</v>
      </c>
      <c r="G4" t="s">
        <v>253</v>
      </c>
      <c r="I4" s="18" t="s">
        <v>252</v>
      </c>
      <c r="J4" s="15"/>
      <c r="K4" s="15"/>
      <c r="L4" s="15"/>
      <c r="M4" s="15"/>
      <c r="N4" s="15" t="s">
        <v>253</v>
      </c>
      <c r="O4" s="15"/>
      <c r="P4" s="18" t="s">
        <v>252</v>
      </c>
      <c r="Q4" s="15"/>
      <c r="R4" s="15"/>
      <c r="S4" s="15"/>
      <c r="T4" s="15"/>
      <c r="U4" s="15" t="s">
        <v>253</v>
      </c>
    </row>
    <row r="5" spans="1:21">
      <c r="A5" s="13"/>
      <c r="B5" t="s">
        <v>245</v>
      </c>
      <c r="C5">
        <v>127</v>
      </c>
      <c r="D5">
        <v>15</v>
      </c>
      <c r="E5">
        <v>27</v>
      </c>
      <c r="F5">
        <v>169</v>
      </c>
      <c r="G5" t="s">
        <v>254</v>
      </c>
      <c r="I5" s="18"/>
      <c r="J5" s="15" t="s">
        <v>245</v>
      </c>
      <c r="K5" s="15">
        <v>127</v>
      </c>
      <c r="L5" s="15">
        <f>D5+E5</f>
        <v>42</v>
      </c>
      <c r="M5" s="15">
        <v>169</v>
      </c>
      <c r="N5" s="15" t="s">
        <v>254</v>
      </c>
      <c r="O5" s="15"/>
      <c r="P5" s="18"/>
      <c r="Q5" s="15" t="s">
        <v>245</v>
      </c>
      <c r="R5" s="15">
        <v>127</v>
      </c>
      <c r="S5" s="15">
        <f>L5</f>
        <v>42</v>
      </c>
      <c r="T5" s="15">
        <v>169</v>
      </c>
      <c r="U5" s="15" t="s">
        <v>254</v>
      </c>
    </row>
    <row r="6" spans="1:21">
      <c r="A6" s="13"/>
      <c r="C6">
        <v>75.150000000000006</v>
      </c>
      <c r="D6">
        <v>8.8800000000000008</v>
      </c>
      <c r="E6">
        <v>15.98</v>
      </c>
      <c r="F6">
        <v>100</v>
      </c>
      <c r="G6" t="s">
        <v>253</v>
      </c>
      <c r="I6" s="18"/>
      <c r="J6" s="15"/>
      <c r="K6" s="15">
        <v>75.150000000000006</v>
      </c>
      <c r="L6" s="15">
        <f>D6+E6</f>
        <v>24.86</v>
      </c>
      <c r="M6" s="15">
        <v>100</v>
      </c>
      <c r="N6" s="15" t="s">
        <v>253</v>
      </c>
      <c r="O6" s="15"/>
      <c r="P6" s="18"/>
      <c r="Q6" s="15"/>
      <c r="R6" s="15">
        <v>75.150000000000006</v>
      </c>
      <c r="S6" s="15">
        <f>L6</f>
        <v>24.86</v>
      </c>
      <c r="T6" s="15">
        <v>100</v>
      </c>
      <c r="U6" s="15" t="s">
        <v>253</v>
      </c>
    </row>
    <row r="7" spans="1:21">
      <c r="A7" s="13"/>
      <c r="B7" t="s">
        <v>246</v>
      </c>
      <c r="C7">
        <v>32</v>
      </c>
      <c r="D7">
        <v>13</v>
      </c>
      <c r="E7">
        <v>5</v>
      </c>
      <c r="F7">
        <v>50</v>
      </c>
      <c r="G7" t="s">
        <v>254</v>
      </c>
      <c r="I7" s="18"/>
      <c r="J7" s="15" t="s">
        <v>246</v>
      </c>
      <c r="K7" s="15">
        <v>32</v>
      </c>
      <c r="L7" s="15">
        <f t="shared" ref="L7:L18" si="0">D7+E7</f>
        <v>18</v>
      </c>
      <c r="M7" s="15">
        <v>50</v>
      </c>
      <c r="N7" s="15" t="s">
        <v>254</v>
      </c>
      <c r="O7" s="15"/>
      <c r="P7" s="18"/>
      <c r="Q7" s="15" t="s">
        <v>259</v>
      </c>
      <c r="R7" s="15">
        <f>K7+K9</f>
        <v>121</v>
      </c>
      <c r="S7" s="15">
        <f>L7+L9</f>
        <v>96</v>
      </c>
      <c r="T7" s="15">
        <v>50</v>
      </c>
      <c r="U7" s="15" t="s">
        <v>254</v>
      </c>
    </row>
    <row r="8" spans="1:21">
      <c r="A8" s="13"/>
      <c r="C8">
        <v>64</v>
      </c>
      <c r="D8">
        <v>26</v>
      </c>
      <c r="E8">
        <v>10</v>
      </c>
      <c r="F8">
        <v>100</v>
      </c>
      <c r="G8" t="s">
        <v>253</v>
      </c>
      <c r="I8" s="18"/>
      <c r="J8" s="15"/>
      <c r="K8" s="15">
        <v>64</v>
      </c>
      <c r="L8" s="15">
        <f t="shared" si="0"/>
        <v>36</v>
      </c>
      <c r="M8" s="15">
        <v>100</v>
      </c>
      <c r="N8" s="15" t="s">
        <v>253</v>
      </c>
      <c r="O8" s="15"/>
      <c r="P8" s="18"/>
      <c r="Q8" s="15"/>
      <c r="R8" s="19">
        <f>R7/(R7+S7)*100</f>
        <v>55.76036866359447</v>
      </c>
      <c r="S8" s="19">
        <f>100-R8</f>
        <v>44.23963133640553</v>
      </c>
      <c r="T8" s="15">
        <v>100</v>
      </c>
      <c r="U8" s="15" t="s">
        <v>253</v>
      </c>
    </row>
    <row r="9" spans="1:21">
      <c r="A9" s="13"/>
      <c r="B9" t="s">
        <v>247</v>
      </c>
      <c r="C9">
        <v>89</v>
      </c>
      <c r="D9">
        <v>14</v>
      </c>
      <c r="E9">
        <v>64</v>
      </c>
      <c r="F9">
        <v>167</v>
      </c>
      <c r="G9" t="s">
        <v>254</v>
      </c>
      <c r="I9" s="18"/>
      <c r="J9" s="15" t="s">
        <v>247</v>
      </c>
      <c r="K9" s="15">
        <v>89</v>
      </c>
      <c r="L9" s="15">
        <f t="shared" si="0"/>
        <v>78</v>
      </c>
      <c r="M9" s="15">
        <v>167</v>
      </c>
      <c r="N9" s="15" t="s">
        <v>254</v>
      </c>
      <c r="O9" s="15"/>
      <c r="P9" s="18"/>
      <c r="Q9" s="15" t="s">
        <v>260</v>
      </c>
      <c r="R9" s="15">
        <f>K11+K13+K15</f>
        <v>27</v>
      </c>
      <c r="S9" s="15">
        <f>L11+L13+L15</f>
        <v>52</v>
      </c>
      <c r="T9" s="15">
        <v>167</v>
      </c>
      <c r="U9" s="15" t="s">
        <v>254</v>
      </c>
    </row>
    <row r="10" spans="1:21">
      <c r="A10" s="13"/>
      <c r="C10">
        <v>53.29</v>
      </c>
      <c r="D10">
        <v>8.3800000000000008</v>
      </c>
      <c r="E10">
        <v>38.32</v>
      </c>
      <c r="F10">
        <v>100</v>
      </c>
      <c r="G10" t="s">
        <v>253</v>
      </c>
      <c r="I10" s="18"/>
      <c r="J10" s="15"/>
      <c r="K10" s="15">
        <v>53.29</v>
      </c>
      <c r="L10" s="15">
        <f t="shared" si="0"/>
        <v>46.7</v>
      </c>
      <c r="M10" s="15">
        <v>100</v>
      </c>
      <c r="N10" s="15" t="s">
        <v>253</v>
      </c>
      <c r="O10" s="15"/>
      <c r="P10" s="18"/>
      <c r="Q10" s="15"/>
      <c r="R10" s="19">
        <f>R9/(R9+S9)*100</f>
        <v>34.177215189873415</v>
      </c>
      <c r="S10" s="19">
        <f>100-R10</f>
        <v>65.822784810126592</v>
      </c>
      <c r="T10" s="15">
        <v>100</v>
      </c>
      <c r="U10" s="15" t="s">
        <v>253</v>
      </c>
    </row>
    <row r="11" spans="1:21">
      <c r="A11" s="13"/>
      <c r="B11" t="s">
        <v>248</v>
      </c>
      <c r="C11">
        <v>0</v>
      </c>
      <c r="D11">
        <v>2</v>
      </c>
      <c r="E11">
        <v>0</v>
      </c>
      <c r="F11">
        <v>2</v>
      </c>
      <c r="G11" t="s">
        <v>254</v>
      </c>
      <c r="I11" s="18"/>
      <c r="J11" s="15" t="s">
        <v>248</v>
      </c>
      <c r="K11" s="15">
        <v>0</v>
      </c>
      <c r="L11" s="15">
        <f t="shared" si="0"/>
        <v>2</v>
      </c>
      <c r="M11" s="15">
        <v>2</v>
      </c>
      <c r="N11" s="15" t="s">
        <v>254</v>
      </c>
      <c r="O11" s="15"/>
      <c r="P11" s="18"/>
      <c r="Q11" s="15" t="s">
        <v>244</v>
      </c>
      <c r="R11" s="15">
        <v>275</v>
      </c>
      <c r="S11" s="15" t="e">
        <f>J17+K17</f>
        <v>#VALUE!</v>
      </c>
      <c r="T11" s="15">
        <v>465</v>
      </c>
      <c r="U11" s="15"/>
    </row>
    <row r="12" spans="1:21">
      <c r="A12" s="13"/>
      <c r="C12">
        <v>0</v>
      </c>
      <c r="D12">
        <v>100</v>
      </c>
      <c r="E12">
        <v>0</v>
      </c>
      <c r="F12">
        <v>100</v>
      </c>
      <c r="G12" t="s">
        <v>253</v>
      </c>
      <c r="I12" s="18"/>
      <c r="J12" s="15"/>
      <c r="K12" s="15">
        <v>0</v>
      </c>
      <c r="L12" s="15">
        <f t="shared" si="0"/>
        <v>100</v>
      </c>
      <c r="M12" s="15">
        <v>100</v>
      </c>
      <c r="N12" s="15" t="s">
        <v>253</v>
      </c>
      <c r="O12" s="15"/>
      <c r="P12" s="18"/>
      <c r="Q12" s="15"/>
      <c r="R12" s="15">
        <v>59.14</v>
      </c>
      <c r="S12" s="15">
        <f>J18+K18</f>
        <v>59.14</v>
      </c>
      <c r="T12" s="15">
        <v>100</v>
      </c>
      <c r="U12" s="15"/>
    </row>
    <row r="13" spans="1:21">
      <c r="B13" t="s">
        <v>249</v>
      </c>
      <c r="C13">
        <v>8</v>
      </c>
      <c r="D13">
        <v>3</v>
      </c>
      <c r="E13">
        <v>8</v>
      </c>
      <c r="F13">
        <v>19</v>
      </c>
      <c r="G13" t="s">
        <v>254</v>
      </c>
      <c r="I13" s="16"/>
      <c r="J13" s="15" t="s">
        <v>249</v>
      </c>
      <c r="K13" s="15">
        <v>8</v>
      </c>
      <c r="L13" s="15">
        <f t="shared" si="0"/>
        <v>11</v>
      </c>
      <c r="M13" s="15">
        <v>19</v>
      </c>
      <c r="N13" s="15" t="s">
        <v>254</v>
      </c>
      <c r="O13" s="15"/>
      <c r="P13" s="16"/>
      <c r="Q13" s="15"/>
      <c r="R13" s="15"/>
      <c r="S13" s="15"/>
      <c r="T13" s="15"/>
      <c r="U13" s="15"/>
    </row>
    <row r="14" spans="1:21">
      <c r="C14">
        <v>42.11</v>
      </c>
      <c r="D14">
        <v>15.79</v>
      </c>
      <c r="E14">
        <v>42.11</v>
      </c>
      <c r="F14">
        <v>100</v>
      </c>
      <c r="G14" t="s">
        <v>253</v>
      </c>
      <c r="I14" s="16"/>
      <c r="J14" s="15"/>
      <c r="K14" s="15">
        <v>42.11</v>
      </c>
      <c r="L14" s="15">
        <f t="shared" si="0"/>
        <v>57.9</v>
      </c>
      <c r="M14" s="15">
        <v>100</v>
      </c>
      <c r="N14" s="15" t="s">
        <v>253</v>
      </c>
      <c r="O14" s="15"/>
      <c r="P14" s="16"/>
      <c r="Q14" s="15"/>
      <c r="R14" s="15"/>
      <c r="S14" s="15"/>
      <c r="T14" s="15"/>
      <c r="U14" s="15"/>
    </row>
    <row r="15" spans="1:21">
      <c r="B15" t="s">
        <v>250</v>
      </c>
      <c r="C15">
        <v>19</v>
      </c>
      <c r="D15">
        <v>2</v>
      </c>
      <c r="E15">
        <v>37</v>
      </c>
      <c r="F15">
        <v>58</v>
      </c>
      <c r="G15" t="s">
        <v>254</v>
      </c>
      <c r="I15" s="16"/>
      <c r="J15" s="15" t="s">
        <v>250</v>
      </c>
      <c r="K15" s="15">
        <v>19</v>
      </c>
      <c r="L15" s="15">
        <f t="shared" si="0"/>
        <v>39</v>
      </c>
      <c r="M15" s="15">
        <v>58</v>
      </c>
      <c r="N15" s="15" t="s">
        <v>254</v>
      </c>
      <c r="O15" s="15"/>
      <c r="P15" s="16"/>
      <c r="Q15" s="15"/>
      <c r="R15" s="15"/>
      <c r="S15" s="15"/>
      <c r="T15" s="15"/>
      <c r="U15" s="15"/>
    </row>
    <row r="16" spans="1:21">
      <c r="C16">
        <v>32.76</v>
      </c>
      <c r="D16">
        <v>3.45</v>
      </c>
      <c r="E16">
        <v>63.79</v>
      </c>
      <c r="F16">
        <v>100</v>
      </c>
      <c r="G16" t="s">
        <v>253</v>
      </c>
      <c r="I16" s="16"/>
      <c r="J16" s="15"/>
      <c r="K16" s="15">
        <v>32.76</v>
      </c>
      <c r="L16" s="15">
        <f t="shared" si="0"/>
        <v>67.239999999999995</v>
      </c>
      <c r="M16" s="15">
        <v>100</v>
      </c>
      <c r="N16" s="15" t="s">
        <v>253</v>
      </c>
      <c r="O16" s="15"/>
      <c r="P16" s="16"/>
      <c r="Q16" s="15"/>
      <c r="R16" s="15"/>
      <c r="S16" s="15"/>
      <c r="T16" s="15"/>
      <c r="U16" s="15"/>
    </row>
    <row r="17" spans="2:21">
      <c r="B17" t="s">
        <v>244</v>
      </c>
      <c r="C17">
        <v>275</v>
      </c>
      <c r="D17">
        <v>49</v>
      </c>
      <c r="E17">
        <v>141</v>
      </c>
      <c r="F17">
        <v>465</v>
      </c>
      <c r="I17" s="16"/>
      <c r="J17" s="15" t="s">
        <v>244</v>
      </c>
      <c r="K17" s="15">
        <v>275</v>
      </c>
      <c r="L17" s="15">
        <f t="shared" si="0"/>
        <v>190</v>
      </c>
      <c r="M17" s="15">
        <v>465</v>
      </c>
      <c r="N17" s="15"/>
      <c r="O17" s="15"/>
      <c r="P17" s="16"/>
      <c r="Q17" s="15"/>
      <c r="R17" s="15"/>
      <c r="S17" s="15"/>
      <c r="T17" s="15"/>
      <c r="U17" s="15"/>
    </row>
    <row r="18" spans="2:21">
      <c r="C18">
        <v>59.14</v>
      </c>
      <c r="D18">
        <v>10.54</v>
      </c>
      <c r="E18">
        <v>30.32</v>
      </c>
      <c r="F18">
        <v>100</v>
      </c>
      <c r="I18" s="16"/>
      <c r="J18" s="15"/>
      <c r="K18" s="15">
        <v>59.14</v>
      </c>
      <c r="L18" s="15">
        <f t="shared" si="0"/>
        <v>40.86</v>
      </c>
      <c r="M18" s="15">
        <v>100</v>
      </c>
      <c r="N18" s="15"/>
      <c r="O18" s="15"/>
      <c r="P18" s="16"/>
      <c r="Q18" s="15"/>
      <c r="R18" s="15"/>
      <c r="S18" s="15"/>
      <c r="T18" s="15"/>
      <c r="U18" s="15"/>
    </row>
    <row r="19" spans="2:21">
      <c r="I19" s="15"/>
      <c r="J19" s="15"/>
      <c r="K19" s="15"/>
      <c r="L19" s="15"/>
      <c r="M19" s="15"/>
      <c r="N19" s="15"/>
      <c r="O19" s="15"/>
      <c r="P19" s="15" t="s">
        <v>261</v>
      </c>
      <c r="Q19" s="15"/>
      <c r="R19" s="15"/>
      <c r="S19" s="15"/>
      <c r="T19" s="15"/>
      <c r="U19" s="15"/>
    </row>
  </sheetData>
  <mergeCells count="6">
    <mergeCell ref="C2:E2"/>
    <mergeCell ref="A4:A12"/>
    <mergeCell ref="K2:M2"/>
    <mergeCell ref="I4:I12"/>
    <mergeCell ref="R2:T2"/>
    <mergeCell ref="P4:P12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F32" sqref="F32"/>
    </sheetView>
  </sheetViews>
  <sheetFormatPr defaultRowHeight="13"/>
  <cols>
    <col min="1" max="1" width="25" style="1" customWidth="1"/>
    <col min="2" max="13" width="9.6640625" style="1" customWidth="1"/>
    <col min="14" max="16384" width="8.6640625" style="1"/>
  </cols>
  <sheetData>
    <row r="1" spans="1:13" ht="16">
      <c r="B1" s="14" t="s">
        <v>241</v>
      </c>
      <c r="C1" s="11"/>
      <c r="D1" s="11"/>
      <c r="E1" s="11"/>
      <c r="F1" s="11"/>
      <c r="G1" s="11"/>
      <c r="H1" s="14" t="s">
        <v>242</v>
      </c>
      <c r="I1" s="11"/>
      <c r="J1" s="11"/>
      <c r="K1" s="11"/>
      <c r="L1" s="11"/>
      <c r="M1" s="11"/>
    </row>
    <row r="2" spans="1:13">
      <c r="A2" s="8" t="s">
        <v>14</v>
      </c>
      <c r="B2" s="7" t="s">
        <v>63</v>
      </c>
      <c r="C2" s="7" t="s">
        <v>62</v>
      </c>
      <c r="D2" s="7" t="s">
        <v>61</v>
      </c>
      <c r="E2" s="7" t="s">
        <v>60</v>
      </c>
      <c r="F2" s="7" t="s">
        <v>59</v>
      </c>
      <c r="G2" s="7" t="s">
        <v>58</v>
      </c>
      <c r="H2" s="7" t="s">
        <v>152</v>
      </c>
      <c r="I2" s="7" t="s">
        <v>151</v>
      </c>
      <c r="J2" s="7" t="s">
        <v>150</v>
      </c>
      <c r="K2" s="7" t="s">
        <v>149</v>
      </c>
      <c r="L2" s="7" t="s">
        <v>148</v>
      </c>
      <c r="M2" s="7" t="s">
        <v>147</v>
      </c>
    </row>
    <row r="3" spans="1:13">
      <c r="A3" s="6" t="s">
        <v>57</v>
      </c>
      <c r="B3" s="5" t="s">
        <v>238</v>
      </c>
      <c r="C3" s="5" t="s">
        <v>238</v>
      </c>
      <c r="D3" s="5" t="s">
        <v>238</v>
      </c>
      <c r="E3" s="5" t="s">
        <v>238</v>
      </c>
      <c r="F3" s="5" t="s">
        <v>238</v>
      </c>
      <c r="G3" s="5" t="s">
        <v>238</v>
      </c>
      <c r="H3" s="5" t="s">
        <v>238</v>
      </c>
      <c r="I3" s="5" t="s">
        <v>238</v>
      </c>
      <c r="J3" s="5" t="s">
        <v>238</v>
      </c>
      <c r="K3" s="5" t="s">
        <v>238</v>
      </c>
      <c r="L3" s="5" t="s">
        <v>238</v>
      </c>
      <c r="M3" s="5" t="s">
        <v>238</v>
      </c>
    </row>
    <row r="4" spans="1:13">
      <c r="A4" s="8" t="s">
        <v>14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</row>
    <row r="5" spans="1:13">
      <c r="A5" s="6" t="s">
        <v>237</v>
      </c>
      <c r="B5" s="5" t="s">
        <v>236</v>
      </c>
      <c r="C5" s="5" t="s">
        <v>14</v>
      </c>
      <c r="D5" s="5" t="s">
        <v>14</v>
      </c>
      <c r="E5" s="5" t="s">
        <v>236</v>
      </c>
      <c r="F5" s="5" t="s">
        <v>235</v>
      </c>
      <c r="G5" s="5" t="s">
        <v>235</v>
      </c>
      <c r="H5" s="5" t="s">
        <v>234</v>
      </c>
      <c r="I5" s="5" t="s">
        <v>14</v>
      </c>
      <c r="J5" s="5" t="s">
        <v>14</v>
      </c>
      <c r="K5" s="5" t="s">
        <v>233</v>
      </c>
      <c r="L5" s="5" t="s">
        <v>233</v>
      </c>
      <c r="M5" s="5" t="s">
        <v>232</v>
      </c>
    </row>
    <row r="6" spans="1:13">
      <c r="A6" s="6" t="s">
        <v>14</v>
      </c>
      <c r="B6" s="5" t="s">
        <v>231</v>
      </c>
      <c r="C6" s="5" t="s">
        <v>14</v>
      </c>
      <c r="D6" s="5" t="s">
        <v>14</v>
      </c>
      <c r="E6" s="5" t="s">
        <v>230</v>
      </c>
      <c r="F6" s="5" t="s">
        <v>230</v>
      </c>
      <c r="G6" s="5" t="s">
        <v>230</v>
      </c>
      <c r="H6" s="5" t="s">
        <v>32</v>
      </c>
      <c r="I6" s="5" t="s">
        <v>14</v>
      </c>
      <c r="J6" s="5" t="s">
        <v>14</v>
      </c>
      <c r="K6" s="5" t="s">
        <v>32</v>
      </c>
      <c r="L6" s="5" t="s">
        <v>32</v>
      </c>
      <c r="M6" s="5" t="s">
        <v>32</v>
      </c>
    </row>
    <row r="7" spans="1:13">
      <c r="A7" s="6" t="s">
        <v>229</v>
      </c>
      <c r="B7" s="5" t="s">
        <v>228</v>
      </c>
      <c r="C7" s="5" t="s">
        <v>14</v>
      </c>
      <c r="D7" s="5" t="s">
        <v>14</v>
      </c>
      <c r="E7" s="5" t="s">
        <v>227</v>
      </c>
      <c r="F7" s="5" t="s">
        <v>227</v>
      </c>
      <c r="G7" s="5" t="s">
        <v>226</v>
      </c>
      <c r="H7" s="5" t="s">
        <v>225</v>
      </c>
      <c r="I7" s="5" t="s">
        <v>14</v>
      </c>
      <c r="J7" s="5" t="s">
        <v>14</v>
      </c>
      <c r="K7" s="5" t="s">
        <v>224</v>
      </c>
      <c r="L7" s="5" t="s">
        <v>223</v>
      </c>
      <c r="M7" s="5" t="s">
        <v>223</v>
      </c>
    </row>
    <row r="8" spans="1:13">
      <c r="A8" s="6" t="s">
        <v>14</v>
      </c>
      <c r="B8" s="5" t="s">
        <v>29</v>
      </c>
      <c r="C8" s="5" t="s">
        <v>14</v>
      </c>
      <c r="D8" s="5" t="s">
        <v>14</v>
      </c>
      <c r="E8" s="5" t="s">
        <v>29</v>
      </c>
      <c r="F8" s="5" t="s">
        <v>29</v>
      </c>
      <c r="G8" s="5" t="s">
        <v>29</v>
      </c>
      <c r="H8" s="5" t="s">
        <v>221</v>
      </c>
      <c r="I8" s="5" t="s">
        <v>14</v>
      </c>
      <c r="J8" s="5" t="s">
        <v>14</v>
      </c>
      <c r="K8" s="5" t="s">
        <v>221</v>
      </c>
      <c r="L8" s="5" t="s">
        <v>222</v>
      </c>
      <c r="M8" s="5" t="s">
        <v>221</v>
      </c>
    </row>
    <row r="9" spans="1:13">
      <c r="A9" s="6" t="s">
        <v>56</v>
      </c>
      <c r="B9" s="5" t="s">
        <v>14</v>
      </c>
      <c r="C9" s="5" t="s">
        <v>220</v>
      </c>
      <c r="D9" s="5" t="s">
        <v>14</v>
      </c>
      <c r="E9" s="5" t="s">
        <v>219</v>
      </c>
      <c r="F9" s="5" t="s">
        <v>218</v>
      </c>
      <c r="G9" s="5" t="s">
        <v>217</v>
      </c>
      <c r="H9" s="5" t="s">
        <v>14</v>
      </c>
      <c r="I9" s="5" t="s">
        <v>216</v>
      </c>
      <c r="J9" s="5" t="s">
        <v>14</v>
      </c>
      <c r="K9" s="5" t="s">
        <v>215</v>
      </c>
      <c r="L9" s="5" t="s">
        <v>214</v>
      </c>
      <c r="M9" s="5" t="s">
        <v>213</v>
      </c>
    </row>
    <row r="10" spans="1:13">
      <c r="A10" s="6" t="s">
        <v>14</v>
      </c>
      <c r="B10" s="5" t="s">
        <v>14</v>
      </c>
      <c r="C10" s="5" t="s">
        <v>49</v>
      </c>
      <c r="D10" s="5" t="s">
        <v>14</v>
      </c>
      <c r="E10" s="5" t="s">
        <v>50</v>
      </c>
      <c r="F10" s="5" t="s">
        <v>50</v>
      </c>
      <c r="G10" s="5" t="s">
        <v>50</v>
      </c>
      <c r="H10" s="5" t="s">
        <v>14</v>
      </c>
      <c r="I10" s="5" t="s">
        <v>168</v>
      </c>
      <c r="J10" s="5" t="s">
        <v>14</v>
      </c>
      <c r="K10" s="5" t="s">
        <v>212</v>
      </c>
      <c r="L10" s="5" t="s">
        <v>211</v>
      </c>
      <c r="M10" s="5" t="s">
        <v>210</v>
      </c>
    </row>
    <row r="11" spans="1:13">
      <c r="A11" s="6" t="s">
        <v>145</v>
      </c>
      <c r="B11" s="5" t="s">
        <v>14</v>
      </c>
      <c r="C11" s="5" t="s">
        <v>14</v>
      </c>
      <c r="D11" s="5" t="s">
        <v>209</v>
      </c>
      <c r="E11" s="5" t="s">
        <v>208</v>
      </c>
      <c r="F11" s="5" t="s">
        <v>89</v>
      </c>
      <c r="G11" s="5" t="s">
        <v>207</v>
      </c>
      <c r="H11" s="5" t="s">
        <v>14</v>
      </c>
      <c r="I11" s="5" t="s">
        <v>14</v>
      </c>
      <c r="J11" s="5" t="s">
        <v>206</v>
      </c>
      <c r="K11" s="5" t="s">
        <v>205</v>
      </c>
      <c r="L11" s="5" t="s">
        <v>204</v>
      </c>
      <c r="M11" s="5" t="s">
        <v>203</v>
      </c>
    </row>
    <row r="12" spans="1:13">
      <c r="A12" s="6" t="s">
        <v>14</v>
      </c>
      <c r="B12" s="5" t="s">
        <v>14</v>
      </c>
      <c r="C12" s="5" t="s">
        <v>14</v>
      </c>
      <c r="D12" s="5" t="s">
        <v>120</v>
      </c>
      <c r="E12" s="5" t="s">
        <v>202</v>
      </c>
      <c r="F12" s="5" t="s">
        <v>201</v>
      </c>
      <c r="G12" s="5" t="s">
        <v>201</v>
      </c>
      <c r="H12" s="5" t="s">
        <v>14</v>
      </c>
      <c r="I12" s="5" t="s">
        <v>14</v>
      </c>
      <c r="J12" s="5" t="s">
        <v>135</v>
      </c>
      <c r="K12" s="5" t="s">
        <v>26</v>
      </c>
      <c r="L12" s="5" t="s">
        <v>200</v>
      </c>
      <c r="M12" s="5" t="s">
        <v>133</v>
      </c>
    </row>
    <row r="13" spans="1:13">
      <c r="A13" s="6" t="s">
        <v>130</v>
      </c>
      <c r="B13" s="5" t="s">
        <v>14</v>
      </c>
      <c r="C13" s="5" t="s">
        <v>14</v>
      </c>
      <c r="D13" s="5" t="s">
        <v>199</v>
      </c>
      <c r="E13" s="5" t="s">
        <v>198</v>
      </c>
      <c r="F13" s="5" t="s">
        <v>197</v>
      </c>
      <c r="G13" s="5" t="s">
        <v>196</v>
      </c>
      <c r="H13" s="5" t="s">
        <v>14</v>
      </c>
      <c r="I13" s="5" t="s">
        <v>14</v>
      </c>
      <c r="J13" s="5" t="s">
        <v>195</v>
      </c>
      <c r="K13" s="5" t="s">
        <v>194</v>
      </c>
      <c r="L13" s="5" t="s">
        <v>193</v>
      </c>
      <c r="M13" s="5" t="s">
        <v>192</v>
      </c>
    </row>
    <row r="14" spans="1:13">
      <c r="A14" s="6" t="s">
        <v>14</v>
      </c>
      <c r="B14" s="5" t="s">
        <v>14</v>
      </c>
      <c r="C14" s="5" t="s">
        <v>14</v>
      </c>
      <c r="D14" s="5" t="s">
        <v>190</v>
      </c>
      <c r="E14" s="5" t="s">
        <v>190</v>
      </c>
      <c r="F14" s="5" t="s">
        <v>191</v>
      </c>
      <c r="G14" s="5" t="s">
        <v>190</v>
      </c>
      <c r="H14" s="5" t="s">
        <v>14</v>
      </c>
      <c r="I14" s="5" t="s">
        <v>14</v>
      </c>
      <c r="J14" s="5" t="s">
        <v>43</v>
      </c>
      <c r="K14" s="5" t="s">
        <v>189</v>
      </c>
      <c r="L14" s="5" t="s">
        <v>188</v>
      </c>
      <c r="M14" s="5" t="s">
        <v>188</v>
      </c>
    </row>
    <row r="15" spans="1:13">
      <c r="A15" s="6" t="s">
        <v>41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187</v>
      </c>
      <c r="G15" s="5" t="s">
        <v>115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95</v>
      </c>
      <c r="M15" s="5" t="s">
        <v>95</v>
      </c>
    </row>
    <row r="16" spans="1:13">
      <c r="A16" s="6" t="s">
        <v>14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35</v>
      </c>
      <c r="G16" s="5" t="s">
        <v>35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109</v>
      </c>
      <c r="M16" s="5" t="s">
        <v>109</v>
      </c>
    </row>
    <row r="17" spans="1:13">
      <c r="A17" s="6" t="s">
        <v>37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30</v>
      </c>
      <c r="G17" s="5" t="s">
        <v>30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96</v>
      </c>
      <c r="M17" s="5" t="s">
        <v>96</v>
      </c>
    </row>
    <row r="18" spans="1:13">
      <c r="A18" s="6" t="s">
        <v>14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186</v>
      </c>
      <c r="G18" s="5" t="s">
        <v>186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35</v>
      </c>
      <c r="M18" s="5" t="s">
        <v>35</v>
      </c>
    </row>
    <row r="19" spans="1:13">
      <c r="A19" s="6" t="s">
        <v>34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185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  <c r="M19" s="5" t="s">
        <v>184</v>
      </c>
    </row>
    <row r="20" spans="1:13">
      <c r="A20" s="6" t="s">
        <v>14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105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29</v>
      </c>
    </row>
    <row r="21" spans="1:13">
      <c r="A21" s="6" t="s">
        <v>31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115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183</v>
      </c>
    </row>
    <row r="22" spans="1:13">
      <c r="A22" s="6" t="s">
        <v>14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32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  <c r="M22" s="5" t="s">
        <v>100</v>
      </c>
    </row>
    <row r="23" spans="1:13">
      <c r="A23" s="6" t="s">
        <v>25</v>
      </c>
      <c r="B23" s="5" t="s">
        <v>182</v>
      </c>
      <c r="C23" s="5" t="s">
        <v>181</v>
      </c>
      <c r="D23" s="5" t="s">
        <v>180</v>
      </c>
      <c r="E23" s="5" t="s">
        <v>179</v>
      </c>
      <c r="F23" s="5" t="s">
        <v>178</v>
      </c>
      <c r="G23" s="5" t="s">
        <v>177</v>
      </c>
      <c r="H23" s="5" t="s">
        <v>176</v>
      </c>
      <c r="I23" s="5" t="s">
        <v>175</v>
      </c>
      <c r="J23" s="5" t="s">
        <v>174</v>
      </c>
      <c r="K23" s="5" t="s">
        <v>173</v>
      </c>
      <c r="L23" s="5" t="s">
        <v>172</v>
      </c>
      <c r="M23" s="5" t="s">
        <v>171</v>
      </c>
    </row>
    <row r="24" spans="1:13">
      <c r="A24" s="6" t="s">
        <v>14</v>
      </c>
      <c r="B24" s="5" t="s">
        <v>82</v>
      </c>
      <c r="C24" s="5" t="s">
        <v>15</v>
      </c>
      <c r="D24" s="5" t="s">
        <v>170</v>
      </c>
      <c r="E24" s="5" t="s">
        <v>17</v>
      </c>
      <c r="F24" s="5" t="s">
        <v>17</v>
      </c>
      <c r="G24" s="5" t="s">
        <v>17</v>
      </c>
      <c r="H24" s="5" t="s">
        <v>169</v>
      </c>
      <c r="I24" s="5" t="s">
        <v>168</v>
      </c>
      <c r="J24" s="5" t="s">
        <v>167</v>
      </c>
      <c r="K24" s="5" t="s">
        <v>166</v>
      </c>
      <c r="L24" s="5" t="s">
        <v>165</v>
      </c>
      <c r="M24" s="5" t="s">
        <v>165</v>
      </c>
    </row>
    <row r="25" spans="1:13">
      <c r="A25" s="6" t="s">
        <v>14</v>
      </c>
      <c r="B25" s="5" t="s">
        <v>14</v>
      </c>
      <c r="C25" s="5" t="s">
        <v>14</v>
      </c>
      <c r="D25" s="5" t="s">
        <v>14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</row>
    <row r="26" spans="1:13">
      <c r="A26" s="6" t="s">
        <v>13</v>
      </c>
      <c r="B26" s="5" t="s">
        <v>77</v>
      </c>
      <c r="C26" s="5" t="s">
        <v>77</v>
      </c>
      <c r="D26" s="5" t="s">
        <v>77</v>
      </c>
      <c r="E26" s="5" t="s">
        <v>77</v>
      </c>
      <c r="F26" s="5" t="s">
        <v>76</v>
      </c>
      <c r="G26" s="5" t="s">
        <v>76</v>
      </c>
      <c r="H26" s="5" t="s">
        <v>75</v>
      </c>
      <c r="I26" s="5" t="s">
        <v>75</v>
      </c>
      <c r="J26" s="5" t="s">
        <v>75</v>
      </c>
      <c r="K26" s="5" t="s">
        <v>75</v>
      </c>
      <c r="L26" s="5" t="s">
        <v>74</v>
      </c>
      <c r="M26" s="5" t="s">
        <v>74</v>
      </c>
    </row>
    <row r="27" spans="1:13">
      <c r="A27" s="6" t="s">
        <v>10</v>
      </c>
      <c r="B27" s="5" t="s">
        <v>164</v>
      </c>
      <c r="C27" s="5" t="s">
        <v>163</v>
      </c>
      <c r="D27" s="5" t="s">
        <v>9</v>
      </c>
      <c r="E27" s="5" t="s">
        <v>162</v>
      </c>
      <c r="F27" s="5" t="s">
        <v>161</v>
      </c>
      <c r="G27" s="5" t="s">
        <v>160</v>
      </c>
      <c r="H27" s="5" t="s">
        <v>159</v>
      </c>
      <c r="I27" s="5" t="s">
        <v>158</v>
      </c>
      <c r="J27" s="5" t="s">
        <v>157</v>
      </c>
      <c r="K27" s="5" t="s">
        <v>156</v>
      </c>
      <c r="L27" s="5" t="s">
        <v>155</v>
      </c>
      <c r="M27" s="5" t="s">
        <v>154</v>
      </c>
    </row>
    <row r="28" spans="1:13">
      <c r="A28" s="4" t="s">
        <v>3</v>
      </c>
      <c r="B28" s="3" t="s">
        <v>2</v>
      </c>
      <c r="C28" s="3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2</v>
      </c>
      <c r="L28" s="3" t="s">
        <v>2</v>
      </c>
      <c r="M28" s="3" t="s">
        <v>2</v>
      </c>
    </row>
    <row r="29" spans="1:13">
      <c r="A29" s="2" t="s">
        <v>1</v>
      </c>
    </row>
    <row r="30" spans="1:13">
      <c r="A30" s="2" t="s">
        <v>0</v>
      </c>
    </row>
  </sheetData>
  <mergeCells count="2">
    <mergeCell ref="B1:G1"/>
    <mergeCell ref="H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Windows 사용자</cp:lastModifiedBy>
  <dcterms:created xsi:type="dcterms:W3CDTF">2018-10-29T17:10:56Z</dcterms:created>
  <dcterms:modified xsi:type="dcterms:W3CDTF">2019-10-02T14:02:14Z</dcterms:modified>
</cp:coreProperties>
</file>